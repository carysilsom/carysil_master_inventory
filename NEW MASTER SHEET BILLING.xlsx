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Carysil_Software\"/>
    </mc:Choice>
  </mc:AlternateContent>
  <xr:revisionPtr revIDLastSave="0" documentId="13_ncr:1_{70E335F1-33A2-4C60-A091-C42637075CD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OCK SUMMARY" sheetId="2" r:id="rId1"/>
    <sheet name="MASTER SHEET" sheetId="9" r:id="rId2"/>
    <sheet name="% GST_DIS" sheetId="6" r:id="rId3"/>
  </sheets>
  <definedNames>
    <definedName name="_xlnm._FilterDatabase" localSheetId="0" hidden="1">'STOCK SUMMARY'!$A$1:$I$1132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21" i="9" l="1"/>
  <c r="F969" i="9"/>
  <c r="F903" i="9"/>
  <c r="F898" i="9"/>
  <c r="F899" i="9"/>
  <c r="F900" i="9"/>
  <c r="F901" i="9"/>
  <c r="F897" i="9"/>
  <c r="F894" i="9"/>
  <c r="F895" i="9"/>
  <c r="F893" i="9"/>
  <c r="F891" i="9"/>
  <c r="F278" i="9"/>
  <c r="F1185" i="9"/>
  <c r="F1184" i="9"/>
  <c r="F1183" i="9"/>
  <c r="F1182" i="9"/>
  <c r="F1181" i="9"/>
  <c r="F1180" i="9"/>
  <c r="F1189" i="9"/>
  <c r="F1188" i="9"/>
  <c r="F1187" i="9"/>
  <c r="F1166" i="9"/>
  <c r="F1167" i="9"/>
  <c r="F1168" i="9"/>
  <c r="F1169" i="9"/>
  <c r="F1170" i="9"/>
  <c r="F1171" i="9"/>
  <c r="F1165" i="9"/>
  <c r="F1164" i="9"/>
  <c r="F1175" i="9"/>
  <c r="F1176" i="9"/>
  <c r="F1177" i="9"/>
  <c r="F1178" i="9"/>
  <c r="F1174" i="9"/>
  <c r="F1173" i="9"/>
  <c r="F1162" i="9"/>
  <c r="F1161" i="9"/>
  <c r="F1160" i="9"/>
  <c r="F1158" i="9"/>
  <c r="F1157" i="9"/>
  <c r="F1156" i="9"/>
  <c r="F1155" i="9"/>
  <c r="F133" i="9"/>
  <c r="F134" i="9"/>
  <c r="F135" i="9"/>
  <c r="F132" i="9"/>
  <c r="F131" i="9"/>
  <c r="F127" i="9"/>
  <c r="F128" i="9"/>
  <c r="F129" i="9"/>
  <c r="F126" i="9"/>
  <c r="F125" i="9"/>
  <c r="F121" i="9"/>
  <c r="F122" i="9"/>
  <c r="F123" i="9"/>
  <c r="F120" i="9"/>
  <c r="F119" i="9"/>
  <c r="F115" i="9"/>
  <c r="F116" i="9"/>
  <c r="F117" i="9"/>
  <c r="F114" i="9"/>
  <c r="F113" i="9"/>
  <c r="F109" i="9"/>
  <c r="F110" i="9"/>
  <c r="F111" i="9"/>
  <c r="F108" i="9"/>
  <c r="F107" i="9"/>
  <c r="F1153" i="9"/>
  <c r="F1151" i="9"/>
  <c r="F1149" i="9"/>
  <c r="F1147" i="9"/>
  <c r="F1145" i="9"/>
  <c r="F1144" i="9"/>
  <c r="F1142" i="9"/>
  <c r="F1141" i="9"/>
  <c r="F1138" i="9"/>
  <c r="F1137" i="9"/>
  <c r="F1136" i="9"/>
  <c r="F1135" i="9"/>
  <c r="F1133" i="9"/>
  <c r="F1132" i="9"/>
  <c r="F1130" i="9"/>
  <c r="F1129" i="9"/>
  <c r="F1128" i="9"/>
  <c r="F1126" i="9"/>
  <c r="F1125" i="9"/>
  <c r="F1123" i="9"/>
  <c r="F1122" i="9"/>
  <c r="F1120" i="9"/>
  <c r="F1119" i="9"/>
  <c r="F1117" i="9"/>
  <c r="F1116" i="9"/>
  <c r="F1115" i="9"/>
  <c r="F1114" i="9"/>
  <c r="F1113" i="9"/>
  <c r="F1111" i="9"/>
  <c r="F1109" i="9"/>
  <c r="F1107" i="9"/>
  <c r="F1106" i="9"/>
  <c r="F1105" i="9"/>
  <c r="F1103" i="9"/>
  <c r="F1102" i="9"/>
  <c r="F1101" i="9"/>
  <c r="F1099" i="9"/>
  <c r="F1098" i="9"/>
  <c r="F1096" i="9"/>
  <c r="F1094" i="9"/>
  <c r="F1092" i="9"/>
  <c r="F1090" i="9"/>
  <c r="F1088" i="9"/>
  <c r="F1086" i="9"/>
  <c r="F1084" i="9"/>
  <c r="F1083" i="9"/>
  <c r="F1081" i="9"/>
  <c r="F1080" i="9"/>
  <c r="F1078" i="9"/>
  <c r="F1077" i="9"/>
  <c r="F1075" i="9"/>
  <c r="F1074" i="9"/>
  <c r="F1073" i="9"/>
  <c r="F1071" i="9"/>
  <c r="F1070" i="9"/>
  <c r="F1068" i="9"/>
  <c r="F1067" i="9"/>
  <c r="F1066" i="9"/>
  <c r="F1064" i="9"/>
  <c r="F1063" i="9"/>
  <c r="F1062" i="9"/>
  <c r="F1060" i="9"/>
  <c r="F1058" i="9"/>
  <c r="F1057" i="9"/>
  <c r="F1055" i="9"/>
  <c r="F1053" i="9"/>
  <c r="F1051" i="9"/>
  <c r="F1049" i="9"/>
  <c r="F1048" i="9"/>
  <c r="F1046" i="9"/>
  <c r="F1045" i="9"/>
  <c r="F1044" i="9"/>
  <c r="F1042" i="9"/>
  <c r="F1041" i="9"/>
  <c r="F1040" i="9"/>
  <c r="F1039" i="9"/>
  <c r="F1037" i="9"/>
  <c r="F1036" i="9"/>
  <c r="F1034" i="9"/>
  <c r="F1032" i="9"/>
  <c r="F1030" i="9"/>
  <c r="F1028" i="9"/>
  <c r="F1027" i="9"/>
  <c r="F1025" i="9"/>
  <c r="F1024" i="9"/>
  <c r="F1023" i="9"/>
  <c r="F1020" i="9"/>
  <c r="F1019" i="9"/>
  <c r="F1018" i="9"/>
  <c r="F1017" i="9"/>
  <c r="F1016" i="9"/>
  <c r="F1015" i="9"/>
  <c r="F1014" i="9"/>
  <c r="F1013" i="9"/>
  <c r="F1011" i="9"/>
  <c r="F1009" i="9"/>
  <c r="F1007" i="9"/>
  <c r="F1006" i="9"/>
  <c r="F1004" i="9"/>
  <c r="F1002" i="9"/>
  <c r="F1000" i="9"/>
  <c r="F998" i="9"/>
  <c r="F996" i="9"/>
  <c r="F994" i="9"/>
  <c r="F992" i="9"/>
  <c r="F990" i="9"/>
  <c r="F988" i="9"/>
  <c r="F986" i="9"/>
  <c r="F984" i="9"/>
  <c r="F982" i="9"/>
  <c r="F980" i="9"/>
  <c r="F978" i="9"/>
  <c r="F977" i="9"/>
  <c r="F975" i="9"/>
  <c r="F973" i="9"/>
  <c r="F971" i="9"/>
  <c r="F967" i="9"/>
  <c r="F965" i="9"/>
  <c r="F963" i="9"/>
  <c r="F961" i="9"/>
  <c r="F959" i="9"/>
  <c r="F957" i="9"/>
  <c r="F955" i="9"/>
  <c r="F953" i="9"/>
  <c r="F951" i="9"/>
  <c r="F949" i="9"/>
  <c r="F947" i="9"/>
  <c r="F945" i="9"/>
  <c r="F943" i="9"/>
  <c r="F941" i="9"/>
  <c r="F939" i="9"/>
  <c r="F937" i="9"/>
  <c r="F935" i="9"/>
  <c r="F933" i="9"/>
  <c r="F931" i="9"/>
  <c r="F929" i="9"/>
  <c r="F927" i="9"/>
  <c r="F925" i="9"/>
  <c r="F923" i="9"/>
  <c r="F921" i="9"/>
  <c r="F919" i="9"/>
  <c r="F917" i="9"/>
  <c r="F915" i="9"/>
  <c r="F913" i="9"/>
  <c r="F911" i="9"/>
  <c r="F909" i="9"/>
  <c r="F907" i="9"/>
  <c r="F905" i="9"/>
  <c r="F889" i="9"/>
  <c r="F887" i="9"/>
  <c r="F885" i="9"/>
  <c r="F883" i="9"/>
  <c r="F881" i="9"/>
  <c r="F879" i="9"/>
  <c r="F877" i="9"/>
  <c r="F875" i="9"/>
  <c r="F873" i="9"/>
  <c r="F871" i="9"/>
  <c r="F869" i="9"/>
  <c r="F867" i="9"/>
  <c r="F865" i="9"/>
  <c r="F863" i="9"/>
  <c r="F861" i="9"/>
  <c r="F859" i="9"/>
  <c r="F857" i="9"/>
  <c r="F855" i="9"/>
  <c r="F853" i="9"/>
  <c r="F851" i="9"/>
  <c r="F849" i="9"/>
  <c r="F847" i="9"/>
  <c r="F845" i="9"/>
  <c r="F843" i="9"/>
  <c r="F841" i="9"/>
  <c r="F839" i="9"/>
  <c r="F837" i="9"/>
  <c r="F835" i="9"/>
  <c r="F833" i="9"/>
  <c r="F831" i="9"/>
  <c r="F829" i="9"/>
  <c r="F827" i="9"/>
  <c r="F825" i="9"/>
  <c r="F823" i="9"/>
  <c r="F821" i="9"/>
  <c r="F819" i="9"/>
  <c r="F817" i="9"/>
  <c r="F815" i="9"/>
  <c r="F813" i="9"/>
  <c r="F812" i="9"/>
  <c r="F810" i="9"/>
  <c r="F809" i="9"/>
  <c r="F807" i="9"/>
  <c r="F806" i="9"/>
  <c r="F804" i="9"/>
  <c r="F803" i="9"/>
  <c r="F801" i="9"/>
  <c r="F800" i="9"/>
  <c r="F798" i="9"/>
  <c r="F797" i="9"/>
  <c r="F796" i="9"/>
  <c r="F794" i="9"/>
  <c r="F793" i="9"/>
  <c r="F792" i="9"/>
  <c r="F790" i="9"/>
  <c r="F789" i="9"/>
  <c r="F788" i="9"/>
  <c r="F786" i="9"/>
  <c r="F785" i="9"/>
  <c r="F783" i="9"/>
  <c r="F782" i="9"/>
  <c r="F781" i="9"/>
  <c r="F780" i="9"/>
  <c r="F778" i="9"/>
  <c r="F777" i="9"/>
  <c r="F775" i="9"/>
  <c r="F774" i="9"/>
  <c r="F773" i="9"/>
  <c r="F771" i="9"/>
  <c r="F770" i="9"/>
  <c r="F769" i="9"/>
  <c r="F767" i="9"/>
  <c r="F766" i="9"/>
  <c r="F765" i="9"/>
  <c r="F763" i="9"/>
  <c r="F762" i="9"/>
  <c r="F760" i="9"/>
  <c r="F759" i="9"/>
  <c r="F758" i="9"/>
  <c r="F756" i="9"/>
  <c r="F755" i="9"/>
  <c r="F754" i="9"/>
  <c r="F752" i="9"/>
  <c r="F751" i="9"/>
  <c r="F750" i="9"/>
  <c r="F748" i="9"/>
  <c r="F746" i="9"/>
  <c r="F744" i="9"/>
  <c r="F743" i="9"/>
  <c r="F742" i="9"/>
  <c r="F740" i="9"/>
  <c r="F738" i="9"/>
  <c r="F735" i="9"/>
  <c r="F733" i="9"/>
  <c r="F731" i="9"/>
  <c r="F729" i="9"/>
  <c r="F727" i="9"/>
  <c r="F725" i="9"/>
  <c r="F723" i="9"/>
  <c r="F721" i="9"/>
  <c r="F720" i="9"/>
  <c r="F718" i="9"/>
  <c r="F717" i="9"/>
  <c r="F715" i="9"/>
  <c r="F714" i="9"/>
  <c r="F712" i="9"/>
  <c r="F711" i="9"/>
  <c r="F709" i="9"/>
  <c r="F708" i="9"/>
  <c r="F706" i="9"/>
  <c r="F705" i="9"/>
  <c r="F703" i="9"/>
  <c r="F701" i="9"/>
  <c r="F699" i="9"/>
  <c r="F697" i="9"/>
  <c r="F695" i="9"/>
  <c r="F694" i="9"/>
  <c r="F693" i="9"/>
  <c r="F691" i="9"/>
  <c r="F690" i="9"/>
  <c r="F689" i="9"/>
  <c r="F687" i="9"/>
  <c r="F686" i="9"/>
  <c r="F685" i="9"/>
  <c r="F683" i="9"/>
  <c r="F682" i="9"/>
  <c r="F681" i="9"/>
  <c r="F679" i="9"/>
  <c r="F678" i="9"/>
  <c r="F677" i="9"/>
  <c r="F675" i="9"/>
  <c r="F674" i="9"/>
  <c r="F673" i="9"/>
  <c r="F671" i="9"/>
  <c r="F670" i="9"/>
  <c r="F669" i="9"/>
  <c r="F667" i="9"/>
  <c r="F666" i="9"/>
  <c r="F665" i="9"/>
  <c r="F663" i="9"/>
  <c r="F662" i="9"/>
  <c r="F661" i="9"/>
  <c r="F659" i="9"/>
  <c r="F658" i="9"/>
  <c r="F656" i="9"/>
  <c r="F654" i="9"/>
  <c r="F653" i="9"/>
  <c r="F651" i="9"/>
  <c r="F650" i="9"/>
  <c r="F648" i="9"/>
  <c r="F647" i="9"/>
  <c r="F645" i="9"/>
  <c r="F644" i="9"/>
  <c r="F642" i="9"/>
  <c r="F641" i="9"/>
  <c r="F639" i="9"/>
  <c r="F638" i="9"/>
  <c r="F636" i="9"/>
  <c r="F635" i="9"/>
  <c r="F633" i="9"/>
  <c r="F632" i="9"/>
  <c r="F630" i="9"/>
  <c r="F629" i="9"/>
  <c r="F627" i="9"/>
  <c r="F626" i="9"/>
  <c r="F624" i="9"/>
  <c r="F623" i="9"/>
  <c r="F621" i="9"/>
  <c r="F620" i="9"/>
  <c r="F618" i="9"/>
  <c r="F617" i="9"/>
  <c r="F615" i="9"/>
  <c r="F614" i="9"/>
  <c r="F612" i="9"/>
  <c r="F611" i="9"/>
  <c r="F609" i="9"/>
  <c r="F608" i="9"/>
  <c r="F606" i="9"/>
  <c r="F605" i="9"/>
  <c r="F603" i="9"/>
  <c r="F602" i="9"/>
  <c r="F600" i="9"/>
  <c r="F599" i="9"/>
  <c r="F597" i="9"/>
  <c r="F596" i="9"/>
  <c r="F594" i="9"/>
  <c r="F593" i="9"/>
  <c r="F591" i="9"/>
  <c r="F590" i="9"/>
  <c r="F588" i="9"/>
  <c r="F587" i="9"/>
  <c r="F585" i="9"/>
  <c r="F583" i="9"/>
  <c r="F581" i="9"/>
  <c r="F579" i="9"/>
  <c r="F577" i="9"/>
  <c r="F575" i="9"/>
  <c r="F573" i="9"/>
  <c r="F571" i="9"/>
  <c r="F569" i="9"/>
  <c r="F567" i="9"/>
  <c r="F565" i="9"/>
  <c r="F563" i="9"/>
  <c r="F559" i="9"/>
  <c r="F557" i="9"/>
  <c r="F555" i="9"/>
  <c r="F553" i="9"/>
  <c r="F551" i="9"/>
  <c r="F549" i="9"/>
  <c r="F547" i="9"/>
  <c r="F545" i="9"/>
  <c r="F543" i="9"/>
  <c r="F541" i="9"/>
  <c r="F539" i="9"/>
  <c r="F537" i="9"/>
  <c r="F535" i="9"/>
  <c r="F533" i="9"/>
  <c r="F531" i="9"/>
  <c r="F529" i="9"/>
  <c r="F527" i="9"/>
  <c r="F525" i="9"/>
  <c r="F523" i="9"/>
  <c r="F521" i="9"/>
  <c r="F519" i="9"/>
  <c r="F517" i="9"/>
  <c r="F515" i="9"/>
  <c r="F513" i="9"/>
  <c r="F511" i="9"/>
  <c r="F509" i="9"/>
  <c r="F507" i="9"/>
  <c r="F505" i="9"/>
  <c r="F503" i="9"/>
  <c r="F501" i="9"/>
  <c r="F499" i="9"/>
  <c r="F497" i="9"/>
  <c r="F495" i="9"/>
  <c r="F493" i="9"/>
  <c r="F491" i="9"/>
  <c r="F489" i="9"/>
  <c r="F487" i="9"/>
  <c r="F485" i="9"/>
  <c r="F483" i="9"/>
  <c r="F481" i="9"/>
  <c r="F479" i="9"/>
  <c r="F477" i="9"/>
  <c r="F475" i="9"/>
  <c r="F473" i="9"/>
  <c r="F471" i="9"/>
  <c r="F469" i="9"/>
  <c r="F467" i="9"/>
  <c r="F466" i="9"/>
  <c r="F464" i="9"/>
  <c r="F463" i="9"/>
  <c r="F461" i="9"/>
  <c r="F460" i="9"/>
  <c r="F458" i="9"/>
  <c r="F457" i="9"/>
  <c r="F455" i="9"/>
  <c r="F454" i="9"/>
  <c r="F452" i="9"/>
  <c r="F451" i="9"/>
  <c r="F449" i="9"/>
  <c r="F448" i="9"/>
  <c r="F446" i="9"/>
  <c r="F444" i="9"/>
  <c r="F443" i="9"/>
  <c r="F442" i="9"/>
  <c r="F440" i="9"/>
  <c r="F439" i="9"/>
  <c r="F438" i="9"/>
  <c r="F436" i="9"/>
  <c r="F435" i="9"/>
  <c r="F434" i="9"/>
  <c r="F432" i="9"/>
  <c r="F431" i="9"/>
  <c r="F429" i="9"/>
  <c r="F428" i="9"/>
  <c r="F426" i="9"/>
  <c r="F425" i="9"/>
  <c r="F422" i="9"/>
  <c r="F420" i="9"/>
  <c r="F418" i="9"/>
  <c r="F417" i="9"/>
  <c r="F415" i="9"/>
  <c r="F413" i="9"/>
  <c r="F412" i="9"/>
  <c r="F411" i="9"/>
  <c r="F410" i="9"/>
  <c r="F409" i="9"/>
  <c r="F408" i="9"/>
  <c r="F407" i="9"/>
  <c r="F406" i="9"/>
  <c r="F404" i="9"/>
  <c r="F403" i="9"/>
  <c r="F402" i="9"/>
  <c r="F401" i="9"/>
  <c r="F400" i="9"/>
  <c r="F399" i="9"/>
  <c r="F398" i="9"/>
  <c r="F397" i="9"/>
  <c r="F395" i="9"/>
  <c r="F394" i="9"/>
  <c r="F393" i="9"/>
  <c r="F392" i="9"/>
  <c r="F391" i="9"/>
  <c r="F390" i="9"/>
  <c r="F389" i="9"/>
  <c r="F388" i="9"/>
  <c r="F386" i="9"/>
  <c r="F385" i="9"/>
  <c r="F384" i="9"/>
  <c r="F383" i="9"/>
  <c r="F382" i="9"/>
  <c r="F381" i="9"/>
  <c r="F380" i="9"/>
  <c r="F379" i="9"/>
  <c r="F377" i="9"/>
  <c r="F376" i="9"/>
  <c r="F375" i="9"/>
  <c r="F374" i="9"/>
  <c r="F373" i="9"/>
  <c r="F372" i="9"/>
  <c r="F371" i="9"/>
  <c r="F370" i="9"/>
  <c r="F368" i="9"/>
  <c r="F367" i="9"/>
  <c r="F366" i="9"/>
  <c r="F365" i="9"/>
  <c r="F364" i="9"/>
  <c r="F363" i="9"/>
  <c r="F362" i="9"/>
  <c r="F361" i="9"/>
  <c r="F359" i="9"/>
  <c r="F358" i="9"/>
  <c r="F357" i="9"/>
  <c r="F356" i="9"/>
  <c r="F355" i="9"/>
  <c r="F354" i="9"/>
  <c r="F353" i="9"/>
  <c r="F352" i="9"/>
  <c r="F350" i="9"/>
  <c r="F349" i="9"/>
  <c r="F348" i="9"/>
  <c r="F347" i="9"/>
  <c r="F346" i="9"/>
  <c r="F345" i="9"/>
  <c r="F344" i="9"/>
  <c r="F343" i="9"/>
  <c r="F341" i="9"/>
  <c r="F340" i="9"/>
  <c r="F339" i="9"/>
  <c r="F338" i="9"/>
  <c r="F337" i="9"/>
  <c r="F336" i="9"/>
  <c r="F335" i="9"/>
  <c r="F334" i="9"/>
  <c r="F332" i="9"/>
  <c r="F331" i="9"/>
  <c r="F330" i="9"/>
  <c r="F329" i="9"/>
  <c r="F328" i="9"/>
  <c r="F327" i="9"/>
  <c r="F326" i="9"/>
  <c r="F325" i="9"/>
  <c r="F323" i="9"/>
  <c r="F322" i="9"/>
  <c r="F321" i="9"/>
  <c r="F320" i="9"/>
  <c r="F319" i="9"/>
  <c r="F318" i="9"/>
  <c r="F317" i="9"/>
  <c r="F316" i="9"/>
  <c r="F314" i="9"/>
  <c r="F313" i="9"/>
  <c r="F312" i="9"/>
  <c r="F311" i="9"/>
  <c r="F310" i="9"/>
  <c r="F309" i="9"/>
  <c r="F308" i="9"/>
  <c r="F307" i="9"/>
  <c r="F305" i="9"/>
  <c r="F304" i="9"/>
  <c r="F303" i="9"/>
  <c r="F302" i="9"/>
  <c r="F301" i="9"/>
  <c r="F300" i="9"/>
  <c r="F299" i="9"/>
  <c r="F298" i="9"/>
  <c r="F296" i="9"/>
  <c r="F295" i="9"/>
  <c r="F294" i="9"/>
  <c r="F293" i="9"/>
  <c r="F292" i="9"/>
  <c r="F291" i="9"/>
  <c r="F290" i="9"/>
  <c r="F289" i="9"/>
  <c r="F287" i="9"/>
  <c r="F286" i="9"/>
  <c r="F285" i="9"/>
  <c r="F284" i="9"/>
  <c r="F283" i="9"/>
  <c r="F282" i="9"/>
  <c r="F281" i="9"/>
  <c r="F280" i="9"/>
  <c r="F277" i="9"/>
  <c r="F275" i="9"/>
  <c r="F273" i="9"/>
  <c r="F272" i="9"/>
  <c r="F271" i="9"/>
  <c r="F270" i="9"/>
  <c r="F269" i="9"/>
  <c r="F268" i="9"/>
  <c r="F267" i="9"/>
  <c r="F266" i="9"/>
  <c r="F264" i="9"/>
  <c r="F263" i="9"/>
  <c r="F262" i="9"/>
  <c r="F259" i="9"/>
  <c r="F258" i="9"/>
  <c r="F257" i="9"/>
  <c r="F255" i="9"/>
  <c r="F254" i="9"/>
  <c r="F253" i="9"/>
  <c r="F252" i="9"/>
  <c r="F251" i="9"/>
  <c r="F250" i="9"/>
  <c r="F249" i="9"/>
  <c r="F248" i="9"/>
  <c r="F247" i="9"/>
  <c r="F246" i="9"/>
  <c r="F244" i="9"/>
  <c r="F243" i="9"/>
  <c r="F242" i="9"/>
  <c r="F241" i="9"/>
  <c r="F240" i="9"/>
  <c r="F239" i="9"/>
  <c r="F238" i="9"/>
  <c r="F237" i="9"/>
  <c r="F236" i="9"/>
  <c r="F235" i="9"/>
  <c r="F233" i="9"/>
  <c r="F232" i="9"/>
  <c r="F231" i="9"/>
  <c r="F230" i="9"/>
  <c r="F229" i="9"/>
  <c r="F228" i="9"/>
  <c r="F227" i="9"/>
  <c r="F226" i="9"/>
  <c r="F225" i="9"/>
  <c r="F223" i="9"/>
  <c r="F222" i="9"/>
  <c r="F221" i="9"/>
  <c r="F220" i="9"/>
  <c r="F219" i="9"/>
  <c r="F218" i="9"/>
  <c r="F217" i="9"/>
  <c r="F216" i="9"/>
  <c r="F214" i="9"/>
  <c r="F213" i="9"/>
  <c r="F212" i="9"/>
  <c r="F211" i="9"/>
  <c r="F210" i="9"/>
  <c r="F209" i="9"/>
  <c r="F208" i="9"/>
  <c r="F207" i="9"/>
  <c r="F205" i="9"/>
  <c r="F204" i="9"/>
  <c r="F203" i="9"/>
  <c r="F202" i="9"/>
  <c r="F201" i="9"/>
  <c r="F200" i="9"/>
  <c r="F199" i="9"/>
  <c r="F198" i="9"/>
  <c r="F196" i="9"/>
  <c r="F195" i="9"/>
  <c r="F194" i="9"/>
  <c r="F193" i="9"/>
  <c r="F192" i="9"/>
  <c r="F191" i="9"/>
  <c r="F190" i="9"/>
  <c r="F189" i="9"/>
  <c r="F187" i="9"/>
  <c r="F186" i="9"/>
  <c r="F185" i="9"/>
  <c r="F184" i="9"/>
  <c r="F183" i="9"/>
  <c r="F182" i="9"/>
  <c r="F181" i="9"/>
  <c r="F180" i="9"/>
  <c r="F178" i="9"/>
  <c r="F176" i="9"/>
  <c r="F174" i="9"/>
  <c r="F172" i="9"/>
  <c r="F171" i="9"/>
  <c r="F170" i="9"/>
  <c r="F169" i="9"/>
  <c r="F167" i="9"/>
  <c r="F166" i="9"/>
  <c r="F165" i="9"/>
  <c r="F164" i="9"/>
  <c r="F162" i="9"/>
  <c r="F161" i="9"/>
  <c r="F160" i="9"/>
  <c r="F159" i="9"/>
  <c r="F158" i="9"/>
  <c r="F156" i="9"/>
  <c r="F155" i="9"/>
  <c r="F154" i="9"/>
  <c r="F153" i="9"/>
  <c r="F152" i="9"/>
  <c r="F151" i="9"/>
  <c r="F149" i="9"/>
  <c r="F148" i="9"/>
  <c r="F147" i="9"/>
  <c r="F146" i="9"/>
  <c r="F145" i="9"/>
  <c r="F144" i="9"/>
  <c r="F142" i="9"/>
  <c r="F141" i="9"/>
  <c r="F140" i="9"/>
  <c r="F139" i="9"/>
  <c r="F138" i="9"/>
  <c r="F137" i="9"/>
  <c r="F105" i="9"/>
  <c r="F104" i="9"/>
  <c r="F103" i="9"/>
  <c r="F102" i="9"/>
  <c r="F101" i="9"/>
  <c r="F99" i="9"/>
  <c r="F98" i="9"/>
  <c r="F97" i="9"/>
  <c r="F96" i="9"/>
  <c r="F95" i="9"/>
  <c r="F94" i="9"/>
  <c r="F93" i="9"/>
  <c r="F91" i="9"/>
  <c r="F90" i="9"/>
  <c r="F89" i="9"/>
  <c r="F88" i="9"/>
  <c r="F87" i="9"/>
  <c r="F86" i="9"/>
  <c r="F85" i="9"/>
  <c r="F83" i="9"/>
  <c r="F82" i="9"/>
  <c r="F81" i="9"/>
  <c r="F80" i="9"/>
  <c r="F79" i="9"/>
  <c r="F78" i="9"/>
  <c r="F77" i="9"/>
  <c r="F75" i="9"/>
  <c r="F74" i="9"/>
  <c r="F73" i="9"/>
  <c r="F72" i="9"/>
  <c r="F71" i="9"/>
  <c r="F70" i="9"/>
  <c r="F69" i="9"/>
  <c r="F67" i="9"/>
  <c r="F66" i="9"/>
  <c r="F65" i="9"/>
  <c r="F64" i="9"/>
  <c r="F63" i="9"/>
  <c r="F62" i="9"/>
  <c r="F61" i="9"/>
  <c r="F59" i="9"/>
  <c r="F58" i="9"/>
  <c r="F57" i="9"/>
  <c r="F56" i="9"/>
  <c r="F55" i="9"/>
  <c r="F54" i="9"/>
  <c r="F53" i="9"/>
  <c r="F51" i="9"/>
  <c r="F50" i="9"/>
  <c r="F49" i="9"/>
  <c r="F48" i="9"/>
  <c r="F47" i="9"/>
  <c r="F46" i="9"/>
  <c r="F45" i="9"/>
  <c r="F43" i="9"/>
  <c r="F42" i="9"/>
  <c r="F41" i="9"/>
  <c r="F40" i="9"/>
  <c r="F39" i="9"/>
  <c r="F38" i="9"/>
  <c r="F37" i="9"/>
  <c r="F35" i="9"/>
  <c r="F34" i="9"/>
  <c r="F33" i="9"/>
  <c r="F32" i="9"/>
  <c r="F31" i="9"/>
  <c r="F30" i="9"/>
  <c r="F29" i="9"/>
  <c r="F27" i="9"/>
  <c r="F26" i="9"/>
  <c r="F25" i="9"/>
  <c r="F24" i="9"/>
  <c r="F23" i="9"/>
  <c r="F22" i="9"/>
  <c r="F21" i="9"/>
  <c r="F20" i="9"/>
  <c r="F18" i="9"/>
  <c r="F17" i="9"/>
  <c r="F16" i="9"/>
  <c r="F15" i="9"/>
  <c r="F14" i="9"/>
  <c r="F13" i="9"/>
  <c r="F12" i="9"/>
  <c r="F11" i="9"/>
  <c r="F9" i="9"/>
  <c r="F8" i="9"/>
  <c r="F7" i="9"/>
  <c r="F6" i="9"/>
  <c r="F5" i="9"/>
  <c r="F4" i="9"/>
  <c r="F3" i="9"/>
  <c r="F2" i="9"/>
  <c r="F1145" i="2"/>
  <c r="F1144" i="2"/>
  <c r="F1140" i="2"/>
  <c r="F1141" i="2"/>
  <c r="F1142" i="2"/>
  <c r="F1139" i="2"/>
  <c r="F901" i="2"/>
  <c r="F902" i="2"/>
  <c r="F900" i="2"/>
  <c r="F898" i="2"/>
  <c r="F896" i="2"/>
  <c r="F825" i="2"/>
  <c r="F1019" i="2" l="1"/>
  <c r="F1013" i="2"/>
  <c r="F1018" i="2"/>
  <c r="F1017" i="2"/>
  <c r="F1066" i="2"/>
  <c r="F1062" i="2"/>
  <c r="F1102" i="2"/>
  <c r="F1101" i="2"/>
  <c r="F1106" i="2"/>
  <c r="F1105" i="2"/>
  <c r="F266" i="2"/>
  <c r="F267" i="2"/>
  <c r="F268" i="2"/>
  <c r="F269" i="2"/>
  <c r="F270" i="2"/>
  <c r="F271" i="2"/>
  <c r="F272" i="2"/>
  <c r="F265" i="2"/>
  <c r="F719" i="2"/>
  <c r="F718" i="2"/>
  <c r="F716" i="2"/>
  <c r="F715" i="2"/>
  <c r="F713" i="2"/>
  <c r="F712" i="2"/>
  <c r="F710" i="2"/>
  <c r="F709" i="2"/>
  <c r="F707" i="2"/>
  <c r="F706" i="2"/>
  <c r="F704" i="2"/>
  <c r="F703" i="2"/>
  <c r="F701" i="2"/>
  <c r="F699" i="2"/>
  <c r="F697" i="2"/>
  <c r="F695" i="2"/>
  <c r="F692" i="2"/>
  <c r="F693" i="2"/>
  <c r="F691" i="2"/>
  <c r="F687" i="2"/>
  <c r="F688" i="2"/>
  <c r="F689" i="2"/>
  <c r="F684" i="2"/>
  <c r="F685" i="2"/>
  <c r="F683" i="2"/>
  <c r="F680" i="2"/>
  <c r="F681" i="2"/>
  <c r="F679" i="2"/>
  <c r="F676" i="2"/>
  <c r="F677" i="2"/>
  <c r="F675" i="2"/>
  <c r="F672" i="2"/>
  <c r="F673" i="2"/>
  <c r="F671" i="2"/>
  <c r="F661" i="2"/>
  <c r="F660" i="2"/>
  <c r="F659" i="2"/>
  <c r="F665" i="2"/>
  <c r="F664" i="2"/>
  <c r="F663" i="2"/>
  <c r="F668" i="2"/>
  <c r="F669" i="2"/>
  <c r="F667" i="2"/>
  <c r="E3" i="6"/>
  <c r="F3" i="6" s="1"/>
  <c r="F1150" i="2"/>
  <c r="F1161" i="2"/>
  <c r="F1159" i="2"/>
  <c r="F1157" i="2"/>
  <c r="F1155" i="2"/>
  <c r="F1153" i="2"/>
  <c r="F1152" i="2"/>
  <c r="F1149" i="2"/>
  <c r="F1136" i="2"/>
  <c r="F1137" i="2"/>
  <c r="F1135" i="2"/>
  <c r="F1134" i="2"/>
  <c r="F1132" i="2"/>
  <c r="F1131" i="2"/>
  <c r="F1129" i="2"/>
  <c r="F1128" i="2"/>
  <c r="F1127" i="2"/>
  <c r="F1125" i="2"/>
  <c r="F1124" i="2"/>
  <c r="F1122" i="2"/>
  <c r="F1121" i="2"/>
  <c r="F1119" i="2"/>
  <c r="F1118" i="2"/>
  <c r="F1114" i="2"/>
  <c r="F1115" i="2"/>
  <c r="F1116" i="2"/>
  <c r="F1113" i="2"/>
  <c r="F1112" i="2"/>
  <c r="F1110" i="2"/>
  <c r="F1108" i="2"/>
  <c r="F1104" i="2"/>
  <c r="F1100" i="2"/>
  <c r="F1098" i="2"/>
  <c r="F1097" i="2"/>
  <c r="F1095" i="2"/>
  <c r="F1093" i="2"/>
  <c r="F1091" i="2"/>
  <c r="F1089" i="2"/>
  <c r="F1087" i="2"/>
  <c r="F1085" i="2"/>
  <c r="F1083" i="2"/>
  <c r="F1082" i="2"/>
  <c r="F1080" i="2"/>
  <c r="F1079" i="2"/>
  <c r="F1077" i="2"/>
  <c r="F1076" i="2"/>
  <c r="F1075" i="2"/>
  <c r="F1073" i="2"/>
  <c r="F1072" i="2"/>
  <c r="F1071" i="2"/>
  <c r="F1069" i="2"/>
  <c r="F1068" i="2"/>
  <c r="F1065" i="2"/>
  <c r="F1064" i="2"/>
  <c r="F1061" i="2"/>
  <c r="F1060" i="2"/>
  <c r="F1058" i="2"/>
  <c r="F1056" i="2"/>
  <c r="F1055" i="2"/>
  <c r="F1053" i="2"/>
  <c r="F1051" i="2"/>
  <c r="F1049" i="2"/>
  <c r="F1047" i="2"/>
  <c r="F1046" i="2"/>
  <c r="F1044" i="2"/>
  <c r="F1043" i="2"/>
  <c r="F1042" i="2"/>
  <c r="F1040" i="2"/>
  <c r="F1039" i="2"/>
  <c r="F1038" i="2"/>
  <c r="F1037" i="2"/>
  <c r="F1035" i="2"/>
  <c r="F1034" i="2"/>
  <c r="F1032" i="2"/>
  <c r="F1030" i="2"/>
  <c r="F1028" i="2"/>
  <c r="F1026" i="2"/>
  <c r="F1025" i="2"/>
  <c r="F1023" i="2"/>
  <c r="F1022" i="2"/>
  <c r="F1021" i="2"/>
  <c r="F1014" i="2"/>
  <c r="F1015" i="2"/>
  <c r="F1016" i="2"/>
  <c r="F1012" i="2"/>
  <c r="F1010" i="2"/>
  <c r="F1008" i="2"/>
  <c r="F1006" i="2"/>
  <c r="F1005" i="2"/>
  <c r="F1003" i="2"/>
  <c r="F1001" i="2"/>
  <c r="F999" i="2"/>
  <c r="F997" i="2"/>
  <c r="F995" i="2"/>
  <c r="F993" i="2"/>
  <c r="F991" i="2"/>
  <c r="F989" i="2"/>
  <c r="F987" i="2"/>
  <c r="F985" i="2"/>
  <c r="F983" i="2"/>
  <c r="F981" i="2"/>
  <c r="F979" i="2"/>
  <c r="F977" i="2"/>
  <c r="F976" i="2"/>
  <c r="F974" i="2"/>
  <c r="F972" i="2"/>
  <c r="F970" i="2"/>
  <c r="F966" i="2"/>
  <c r="F964" i="2"/>
  <c r="F962" i="2"/>
  <c r="F960" i="2"/>
  <c r="F958" i="2"/>
  <c r="F956" i="2"/>
  <c r="F954" i="2"/>
  <c r="F952" i="2"/>
  <c r="F950" i="2"/>
  <c r="F948" i="2"/>
  <c r="F946" i="2"/>
  <c r="F944" i="2"/>
  <c r="F942" i="2"/>
  <c r="F940" i="2"/>
  <c r="F938" i="2"/>
  <c r="F936" i="2"/>
  <c r="F934" i="2"/>
  <c r="F932" i="2"/>
  <c r="F930" i="2"/>
  <c r="F928" i="2"/>
  <c r="F926" i="2"/>
  <c r="F924" i="2"/>
  <c r="F922" i="2"/>
  <c r="F920" i="2"/>
  <c r="F918" i="2"/>
  <c r="F916" i="2"/>
  <c r="F914" i="2"/>
  <c r="F912" i="2"/>
  <c r="F910" i="2"/>
  <c r="F908" i="2"/>
  <c r="F906" i="2"/>
  <c r="F904" i="2"/>
  <c r="F894" i="2"/>
  <c r="F892" i="2"/>
  <c r="F890" i="2"/>
  <c r="F888" i="2"/>
  <c r="F886" i="2"/>
  <c r="F884" i="2"/>
  <c r="F882" i="2"/>
  <c r="F880" i="2"/>
  <c r="F878" i="2"/>
  <c r="F876" i="2"/>
  <c r="F874" i="2"/>
  <c r="F872" i="2"/>
  <c r="F870" i="2"/>
  <c r="F868" i="2"/>
  <c r="F866" i="2"/>
  <c r="F864" i="2"/>
  <c r="F862" i="2"/>
  <c r="F860" i="2"/>
  <c r="F858" i="2"/>
  <c r="F856" i="2"/>
  <c r="F854" i="2"/>
  <c r="F852" i="2"/>
  <c r="F850" i="2"/>
  <c r="F848" i="2"/>
  <c r="F846" i="2"/>
  <c r="F844" i="2"/>
  <c r="F842" i="2"/>
  <c r="F840" i="2"/>
  <c r="F838" i="2"/>
  <c r="F836" i="2"/>
  <c r="F834" i="2"/>
  <c r="F832" i="2"/>
  <c r="F830" i="2"/>
  <c r="F828" i="2"/>
  <c r="F823" i="2"/>
  <c r="F821" i="2"/>
  <c r="F820" i="2"/>
  <c r="F818" i="2"/>
  <c r="F817" i="2"/>
  <c r="F815" i="2"/>
  <c r="F814" i="2"/>
  <c r="F812" i="2"/>
  <c r="F811" i="2"/>
  <c r="F809" i="2"/>
  <c r="F808" i="2"/>
  <c r="F806" i="2"/>
  <c r="F805" i="2"/>
  <c r="F803" i="2"/>
  <c r="F802" i="2"/>
  <c r="F800" i="2"/>
  <c r="F799" i="2"/>
  <c r="F797" i="2"/>
  <c r="F796" i="2"/>
  <c r="F795" i="2"/>
  <c r="F793" i="2"/>
  <c r="F792" i="2"/>
  <c r="F791" i="2"/>
  <c r="F789" i="2"/>
  <c r="F788" i="2"/>
  <c r="F787" i="2"/>
  <c r="F785" i="2"/>
  <c r="F784" i="2"/>
  <c r="F782" i="2"/>
  <c r="F781" i="2"/>
  <c r="F780" i="2"/>
  <c r="F779" i="2"/>
  <c r="F777" i="2"/>
  <c r="F776" i="2"/>
  <c r="F774" i="2"/>
  <c r="F773" i="2"/>
  <c r="F772" i="2"/>
  <c r="F770" i="2"/>
  <c r="F769" i="2"/>
  <c r="F768" i="2"/>
  <c r="F766" i="2"/>
  <c r="F765" i="2"/>
  <c r="F764" i="2"/>
  <c r="F762" i="2"/>
  <c r="F761" i="2"/>
  <c r="F759" i="2"/>
  <c r="F758" i="2"/>
  <c r="F757" i="2"/>
  <c r="F755" i="2"/>
  <c r="F754" i="2"/>
  <c r="F753" i="2"/>
  <c r="F751" i="2"/>
  <c r="F750" i="2"/>
  <c r="F749" i="2"/>
  <c r="F747" i="2"/>
  <c r="F745" i="2"/>
  <c r="F743" i="2"/>
  <c r="F742" i="2"/>
  <c r="F741" i="2"/>
  <c r="F739" i="2"/>
  <c r="F737" i="2"/>
  <c r="F734" i="2"/>
  <c r="F732" i="2"/>
  <c r="F730" i="2"/>
  <c r="F728" i="2"/>
  <c r="F726" i="2"/>
  <c r="F724" i="2"/>
  <c r="F722" i="2"/>
  <c r="F657" i="2"/>
  <c r="F656" i="2"/>
  <c r="F654" i="2"/>
  <c r="F652" i="2"/>
  <c r="F651" i="2"/>
  <c r="F649" i="2"/>
  <c r="F648" i="2"/>
  <c r="F646" i="2"/>
  <c r="F645" i="2"/>
  <c r="F643" i="2"/>
  <c r="F642" i="2"/>
  <c r="F640" i="2"/>
  <c r="F639" i="2"/>
  <c r="F637" i="2"/>
  <c r="F636" i="2"/>
  <c r="F634" i="2"/>
  <c r="F633" i="2"/>
  <c r="F631" i="2"/>
  <c r="F630" i="2"/>
  <c r="F628" i="2"/>
  <c r="F627" i="2"/>
  <c r="F625" i="2"/>
  <c r="F624" i="2"/>
  <c r="F622" i="2"/>
  <c r="F621" i="2"/>
  <c r="F619" i="2"/>
  <c r="F618" i="2"/>
  <c r="F616" i="2"/>
  <c r="F615" i="2"/>
  <c r="F613" i="2"/>
  <c r="F612" i="2"/>
  <c r="F610" i="2"/>
  <c r="F609" i="2"/>
  <c r="F607" i="2"/>
  <c r="F606" i="2"/>
  <c r="F604" i="2"/>
  <c r="F603" i="2"/>
  <c r="F601" i="2"/>
  <c r="F600" i="2"/>
  <c r="F598" i="2"/>
  <c r="F597" i="2"/>
  <c r="F595" i="2"/>
  <c r="F594" i="2"/>
  <c r="F592" i="2"/>
  <c r="F591" i="2"/>
  <c r="F589" i="2"/>
  <c r="F588" i="2"/>
  <c r="F586" i="2"/>
  <c r="F585" i="2"/>
  <c r="F583" i="2"/>
  <c r="F581" i="2"/>
  <c r="F579" i="2"/>
  <c r="F577" i="2"/>
  <c r="F575" i="2"/>
  <c r="F573" i="2"/>
  <c r="F571" i="2"/>
  <c r="F569" i="2"/>
  <c r="F567" i="2"/>
  <c r="F563" i="2"/>
  <c r="F565" i="2"/>
  <c r="F561" i="2"/>
  <c r="F559" i="2"/>
  <c r="F557" i="2"/>
  <c r="F555" i="2"/>
  <c r="F553" i="2"/>
  <c r="F551" i="2"/>
  <c r="F549" i="2"/>
  <c r="F547" i="2"/>
  <c r="F545" i="2"/>
  <c r="F543" i="2"/>
  <c r="F541" i="2"/>
  <c r="F539" i="2"/>
  <c r="F537" i="2"/>
  <c r="F535" i="2"/>
  <c r="F533" i="2"/>
  <c r="F531" i="2"/>
  <c r="F529" i="2"/>
  <c r="F527" i="2"/>
  <c r="F525" i="2"/>
  <c r="F523" i="2"/>
  <c r="F521" i="2"/>
  <c r="F519" i="2"/>
  <c r="F517" i="2"/>
  <c r="F515" i="2"/>
  <c r="F513" i="2"/>
  <c r="F511" i="2"/>
  <c r="F509" i="2"/>
  <c r="F507" i="2"/>
  <c r="F505" i="2"/>
  <c r="F503" i="2"/>
  <c r="F501" i="2"/>
  <c r="F499" i="2"/>
  <c r="F497" i="2"/>
  <c r="F495" i="2"/>
  <c r="F493" i="2"/>
  <c r="F491" i="2"/>
  <c r="F489" i="2"/>
  <c r="F487" i="2"/>
  <c r="F485" i="2"/>
  <c r="F483" i="2"/>
  <c r="F481" i="2"/>
  <c r="F479" i="2"/>
  <c r="F477" i="2"/>
  <c r="F475" i="2"/>
  <c r="F473" i="2"/>
  <c r="F471" i="2"/>
  <c r="F469" i="2"/>
  <c r="F467" i="2"/>
  <c r="F465" i="2"/>
  <c r="F464" i="2"/>
  <c r="F462" i="2"/>
  <c r="F461" i="2"/>
  <c r="F459" i="2"/>
  <c r="F458" i="2"/>
  <c r="F456" i="2"/>
  <c r="F455" i="2"/>
  <c r="F453" i="2"/>
  <c r="F452" i="2"/>
  <c r="F450" i="2"/>
  <c r="F449" i="2"/>
  <c r="F447" i="2"/>
  <c r="F446" i="2"/>
  <c r="F444" i="2"/>
  <c r="F442" i="2"/>
  <c r="F441" i="2"/>
  <c r="F440" i="2"/>
  <c r="F438" i="2"/>
  <c r="F437" i="2"/>
  <c r="F436" i="2"/>
  <c r="F434" i="2"/>
  <c r="F433" i="2"/>
  <c r="F432" i="2"/>
  <c r="F430" i="2"/>
  <c r="F429" i="2"/>
  <c r="F427" i="2"/>
  <c r="F426" i="2"/>
  <c r="F424" i="2"/>
  <c r="F423" i="2"/>
  <c r="F420" i="2"/>
  <c r="F418" i="2"/>
  <c r="F416" i="2"/>
  <c r="F415" i="2"/>
  <c r="F413" i="2"/>
  <c r="F406" i="2"/>
  <c r="F407" i="2"/>
  <c r="F408" i="2"/>
  <c r="F409" i="2"/>
  <c r="F410" i="2"/>
  <c r="F411" i="2"/>
  <c r="F405" i="2"/>
  <c r="F404" i="2"/>
  <c r="F397" i="2"/>
  <c r="F398" i="2"/>
  <c r="F399" i="2"/>
  <c r="F400" i="2"/>
  <c r="F401" i="2"/>
  <c r="F402" i="2"/>
  <c r="F396" i="2"/>
  <c r="F395" i="2"/>
  <c r="F388" i="2"/>
  <c r="F389" i="2"/>
  <c r="F390" i="2"/>
  <c r="F391" i="2"/>
  <c r="F392" i="2"/>
  <c r="F393" i="2"/>
  <c r="F387" i="2"/>
  <c r="F386" i="2"/>
  <c r="F379" i="2"/>
  <c r="F380" i="2"/>
  <c r="F381" i="2"/>
  <c r="F382" i="2"/>
  <c r="F383" i="2"/>
  <c r="F384" i="2"/>
  <c r="F378" i="2"/>
  <c r="F377" i="2"/>
  <c r="F370" i="2"/>
  <c r="F371" i="2"/>
  <c r="F372" i="2"/>
  <c r="F373" i="2"/>
  <c r="F374" i="2"/>
  <c r="F375" i="2"/>
  <c r="F369" i="2"/>
  <c r="F368" i="2"/>
  <c r="F361" i="2"/>
  <c r="F362" i="2"/>
  <c r="F363" i="2"/>
  <c r="F364" i="2"/>
  <c r="F365" i="2"/>
  <c r="F366" i="2"/>
  <c r="F360" i="2"/>
  <c r="F359" i="2"/>
  <c r="F352" i="2"/>
  <c r="F353" i="2"/>
  <c r="F354" i="2"/>
  <c r="F355" i="2"/>
  <c r="F356" i="2"/>
  <c r="F357" i="2"/>
  <c r="F351" i="2"/>
  <c r="F350" i="2"/>
  <c r="F343" i="2"/>
  <c r="F344" i="2"/>
  <c r="F345" i="2"/>
  <c r="F346" i="2"/>
  <c r="F347" i="2"/>
  <c r="F348" i="2"/>
  <c r="F342" i="2"/>
  <c r="F341" i="2"/>
  <c r="F334" i="2"/>
  <c r="F335" i="2"/>
  <c r="F336" i="2"/>
  <c r="F337" i="2"/>
  <c r="F338" i="2"/>
  <c r="F339" i="2"/>
  <c r="F333" i="2"/>
  <c r="F332" i="2"/>
  <c r="F325" i="2"/>
  <c r="F326" i="2"/>
  <c r="F327" i="2"/>
  <c r="F328" i="2"/>
  <c r="F329" i="2"/>
  <c r="F330" i="2"/>
  <c r="F324" i="2"/>
  <c r="F323" i="2"/>
  <c r="F316" i="2"/>
  <c r="F317" i="2"/>
  <c r="F318" i="2"/>
  <c r="F319" i="2"/>
  <c r="F320" i="2"/>
  <c r="F321" i="2"/>
  <c r="F315" i="2"/>
  <c r="F314" i="2"/>
  <c r="F307" i="2"/>
  <c r="F308" i="2"/>
  <c r="F309" i="2"/>
  <c r="F310" i="2"/>
  <c r="F311" i="2"/>
  <c r="F312" i="2"/>
  <c r="F306" i="2"/>
  <c r="F305" i="2"/>
  <c r="F298" i="2"/>
  <c r="F299" i="2"/>
  <c r="F300" i="2"/>
  <c r="F301" i="2"/>
  <c r="F302" i="2"/>
  <c r="F303" i="2"/>
  <c r="F297" i="2"/>
  <c r="F296" i="2"/>
  <c r="F289" i="2"/>
  <c r="F290" i="2"/>
  <c r="F291" i="2"/>
  <c r="F292" i="2"/>
  <c r="F293" i="2"/>
  <c r="F294" i="2"/>
  <c r="F288" i="2"/>
  <c r="F287" i="2"/>
  <c r="F280" i="2"/>
  <c r="F281" i="2"/>
  <c r="F282" i="2"/>
  <c r="F283" i="2"/>
  <c r="F284" i="2"/>
  <c r="F285" i="2"/>
  <c r="F279" i="2"/>
  <c r="F278" i="2"/>
  <c r="F276" i="2"/>
  <c r="F274" i="2"/>
  <c r="F263" i="2"/>
  <c r="F262" i="2"/>
  <c r="F261" i="2"/>
  <c r="F259" i="2"/>
  <c r="F258" i="2"/>
  <c r="F257" i="2"/>
  <c r="F248" i="2"/>
  <c r="F249" i="2"/>
  <c r="F250" i="2"/>
  <c r="F251" i="2"/>
  <c r="F252" i="2"/>
  <c r="F253" i="2"/>
  <c r="F254" i="2"/>
  <c r="F255" i="2"/>
  <c r="F247" i="2"/>
  <c r="F246" i="2"/>
  <c r="F237" i="2"/>
  <c r="F238" i="2"/>
  <c r="F239" i="2"/>
  <c r="F240" i="2"/>
  <c r="F241" i="2"/>
  <c r="F242" i="2"/>
  <c r="F243" i="2"/>
  <c r="F244" i="2"/>
  <c r="F236" i="2"/>
  <c r="F235" i="2"/>
  <c r="F227" i="2"/>
  <c r="F228" i="2"/>
  <c r="F229" i="2"/>
  <c r="F230" i="2"/>
  <c r="F231" i="2"/>
  <c r="F232" i="2"/>
  <c r="F233" i="2"/>
  <c r="F226" i="2"/>
  <c r="F225" i="2"/>
  <c r="F218" i="2"/>
  <c r="F219" i="2"/>
  <c r="F220" i="2"/>
  <c r="F221" i="2"/>
  <c r="F222" i="2"/>
  <c r="F223" i="2"/>
  <c r="F217" i="2"/>
  <c r="F216" i="2"/>
  <c r="F209" i="2"/>
  <c r="F210" i="2"/>
  <c r="F211" i="2"/>
  <c r="F212" i="2"/>
  <c r="F213" i="2"/>
  <c r="F214" i="2"/>
  <c r="F208" i="2"/>
  <c r="F207" i="2"/>
  <c r="F200" i="2"/>
  <c r="F201" i="2"/>
  <c r="F202" i="2"/>
  <c r="F203" i="2"/>
  <c r="F204" i="2"/>
  <c r="F205" i="2"/>
  <c r="F199" i="2"/>
  <c r="F198" i="2"/>
  <c r="F191" i="2"/>
  <c r="F192" i="2"/>
  <c r="F193" i="2"/>
  <c r="F194" i="2"/>
  <c r="F195" i="2"/>
  <c r="F196" i="2"/>
  <c r="F190" i="2"/>
  <c r="F189" i="2"/>
  <c r="F182" i="2"/>
  <c r="F183" i="2"/>
  <c r="F184" i="2"/>
  <c r="F185" i="2"/>
  <c r="F186" i="2"/>
  <c r="F187" i="2"/>
  <c r="F181" i="2"/>
  <c r="F180" i="2"/>
  <c r="F178" i="2"/>
  <c r="F176" i="2"/>
  <c r="F174" i="2"/>
  <c r="F171" i="2"/>
  <c r="F172" i="2"/>
  <c r="F170" i="2"/>
  <c r="F169" i="2"/>
  <c r="F166" i="2"/>
  <c r="F167" i="2"/>
  <c r="F165" i="2"/>
  <c r="F164" i="2"/>
  <c r="F160" i="2"/>
  <c r="F161" i="2"/>
  <c r="F162" i="2"/>
  <c r="F159" i="2"/>
  <c r="F158" i="2"/>
  <c r="F153" i="2"/>
  <c r="F154" i="2"/>
  <c r="F155" i="2"/>
  <c r="F156" i="2"/>
  <c r="F152" i="2"/>
  <c r="F151" i="2"/>
  <c r="F146" i="2"/>
  <c r="F147" i="2"/>
  <c r="F148" i="2"/>
  <c r="F149" i="2"/>
  <c r="F145" i="2"/>
  <c r="F144" i="2"/>
  <c r="F139" i="2"/>
  <c r="F140" i="2"/>
  <c r="F141" i="2"/>
  <c r="F142" i="2"/>
  <c r="F138" i="2"/>
  <c r="F137" i="2"/>
  <c r="F103" i="2"/>
  <c r="F104" i="2"/>
  <c r="F105" i="2"/>
  <c r="F102" i="2"/>
  <c r="F101" i="2"/>
  <c r="F95" i="2"/>
  <c r="F96" i="2"/>
  <c r="F97" i="2"/>
  <c r="F98" i="2"/>
  <c r="F99" i="2"/>
  <c r="F94" i="2"/>
  <c r="F93" i="2"/>
  <c r="F87" i="2"/>
  <c r="F88" i="2"/>
  <c r="F89" i="2"/>
  <c r="F90" i="2"/>
  <c r="F91" i="2"/>
  <c r="F86" i="2"/>
  <c r="F85" i="2"/>
  <c r="F79" i="2"/>
  <c r="F80" i="2"/>
  <c r="F81" i="2"/>
  <c r="F82" i="2"/>
  <c r="F83" i="2"/>
  <c r="F78" i="2"/>
  <c r="F77" i="2"/>
  <c r="F71" i="2"/>
  <c r="F72" i="2"/>
  <c r="F73" i="2"/>
  <c r="F74" i="2"/>
  <c r="F75" i="2"/>
  <c r="F70" i="2"/>
  <c r="F69" i="2"/>
  <c r="F63" i="2"/>
  <c r="F64" i="2"/>
  <c r="F65" i="2"/>
  <c r="F66" i="2"/>
  <c r="F67" i="2"/>
  <c r="F62" i="2"/>
  <c r="F61" i="2"/>
  <c r="F55" i="2"/>
  <c r="F56" i="2"/>
  <c r="F57" i="2"/>
  <c r="F58" i="2"/>
  <c r="F59" i="2"/>
  <c r="F54" i="2"/>
  <c r="F53" i="2"/>
  <c r="F47" i="2"/>
  <c r="F48" i="2"/>
  <c r="F49" i="2"/>
  <c r="F50" i="2"/>
  <c r="F51" i="2"/>
  <c r="F45" i="2"/>
  <c r="F46" i="2"/>
  <c r="F39" i="2"/>
  <c r="F40" i="2"/>
  <c r="F41" i="2"/>
  <c r="F42" i="2"/>
  <c r="F43" i="2"/>
  <c r="F38" i="2"/>
  <c r="F37" i="2"/>
  <c r="F31" i="2"/>
  <c r="F32" i="2"/>
  <c r="F33" i="2"/>
  <c r="F34" i="2"/>
  <c r="F35" i="2"/>
  <c r="F30" i="2"/>
  <c r="F29" i="2"/>
  <c r="F22" i="2"/>
  <c r="F23" i="2"/>
  <c r="F24" i="2"/>
  <c r="F25" i="2"/>
  <c r="F26" i="2"/>
  <c r="F27" i="2"/>
  <c r="F21" i="2"/>
  <c r="F20" i="2"/>
  <c r="F11" i="2"/>
  <c r="F13" i="2"/>
  <c r="F14" i="2"/>
  <c r="F15" i="2"/>
  <c r="F16" i="2"/>
  <c r="F17" i="2"/>
  <c r="F18" i="2"/>
  <c r="F12" i="2"/>
  <c r="F4" i="2"/>
  <c r="F5" i="2"/>
  <c r="F6" i="2"/>
  <c r="F7" i="2"/>
  <c r="F8" i="2"/>
  <c r="F9" i="2"/>
  <c r="F3" i="2"/>
  <c r="F2" i="2"/>
  <c r="B109" i="2"/>
  <c r="B115" i="2"/>
  <c r="B121" i="2"/>
  <c r="B127" i="2"/>
  <c r="B133" i="2"/>
  <c r="B1014" i="2" l="1"/>
  <c r="H3" i="6"/>
  <c r="B1065" i="2"/>
  <c r="B1061" i="2"/>
  <c r="B263" i="2"/>
  <c r="B267" i="2"/>
  <c r="B704" i="2"/>
  <c r="B707" i="2"/>
  <c r="B616" i="2"/>
  <c r="B713" i="2"/>
  <c r="B719" i="2"/>
  <c r="B710" i="2"/>
  <c r="B716" i="2"/>
  <c r="B661" i="2"/>
  <c r="B673" i="2"/>
  <c r="B693" i="2"/>
  <c r="B665" i="2"/>
  <c r="B681" i="2"/>
  <c r="B689" i="2"/>
  <c r="B669" i="2"/>
  <c r="B677" i="2"/>
  <c r="B586" i="2"/>
  <c r="B592" i="2"/>
  <c r="B598" i="2"/>
  <c r="B604" i="2"/>
  <c r="B610" i="2"/>
  <c r="B622" i="2"/>
  <c r="B628" i="2"/>
  <c r="B634" i="2"/>
  <c r="B640" i="2"/>
  <c r="B646" i="2"/>
  <c r="B652" i="2"/>
  <c r="B1047" i="2"/>
  <c r="B1069" i="2"/>
  <c r="B438" i="2"/>
  <c r="B1080" i="2"/>
  <c r="B1153" i="2"/>
  <c r="B637" i="2"/>
  <c r="B649" i="2"/>
  <c r="B1006" i="2"/>
  <c r="B1026" i="2"/>
  <c r="B1098" i="2"/>
  <c r="B456" i="2"/>
  <c r="B434" i="2"/>
  <c r="B1083" i="2"/>
  <c r="B1132" i="2"/>
  <c r="B71" i="2"/>
  <c r="B1122" i="2"/>
  <c r="B388" i="2"/>
  <c r="B416" i="2"/>
  <c r="B424" i="2"/>
  <c r="B430" i="2"/>
  <c r="B442" i="2"/>
  <c r="B447" i="2"/>
  <c r="B453" i="2"/>
  <c r="B459" i="2"/>
  <c r="B465" i="2"/>
  <c r="B977" i="2"/>
  <c r="B1023" i="2"/>
  <c r="B1035" i="2"/>
  <c r="B1039" i="2"/>
  <c r="B1114" i="2"/>
  <c r="B1129" i="2"/>
  <c r="B1077" i="2"/>
  <c r="B613" i="2"/>
  <c r="B589" i="2"/>
  <c r="B289" i="2"/>
  <c r="B259" i="2"/>
  <c r="B427" i="2"/>
  <c r="B450" i="2"/>
  <c r="B462" i="2"/>
  <c r="B595" i="2"/>
  <c r="B601" i="2"/>
  <c r="B607" i="2"/>
  <c r="B619" i="2"/>
  <c r="B625" i="2"/>
  <c r="B631" i="2"/>
  <c r="B643" i="2"/>
  <c r="B1044" i="2"/>
  <c r="B227" i="2"/>
  <c r="B87" i="2"/>
  <c r="B191" i="2"/>
  <c r="B1056" i="2"/>
  <c r="B1119" i="2"/>
  <c r="B31" i="2"/>
  <c r="B406" i="2"/>
  <c r="B153" i="2"/>
  <c r="B209" i="2"/>
  <c r="B361" i="2"/>
  <c r="B166" i="2"/>
  <c r="B280" i="2"/>
  <c r="B1073" i="2"/>
  <c r="B1125" i="2"/>
  <c r="B47" i="2"/>
  <c r="B200" i="2"/>
  <c r="B218" i="2"/>
  <c r="B352" i="2"/>
  <c r="B4" i="2"/>
  <c r="B146" i="2"/>
  <c r="B160" i="2"/>
  <c r="B325" i="2"/>
  <c r="B334" i="2"/>
  <c r="B343" i="2"/>
  <c r="B370" i="2"/>
  <c r="B379" i="2"/>
  <c r="B397" i="2"/>
  <c r="B1136" i="2"/>
  <c r="B39" i="2"/>
  <c r="B55" i="2"/>
  <c r="B95" i="2"/>
  <c r="B171" i="2"/>
  <c r="B237" i="2"/>
  <c r="B1150" i="2"/>
  <c r="B307" i="2"/>
  <c r="B298" i="2"/>
  <c r="B182" i="2"/>
  <c r="B22" i="2"/>
  <c r="B248" i="2"/>
  <c r="B316" i="2"/>
  <c r="B139" i="2"/>
  <c r="B103" i="2"/>
  <c r="B79" i="2"/>
  <c r="B63" i="2"/>
  <c r="B13" i="2"/>
</calcChain>
</file>

<file path=xl/sharedStrings.xml><?xml version="1.0" encoding="utf-8"?>
<sst xmlns="http://schemas.openxmlformats.org/spreadsheetml/2006/main" count="3630" uniqueCount="762">
  <si>
    <t>Sr.No</t>
  </si>
  <si>
    <t xml:space="preserve">QUANTITY </t>
  </si>
  <si>
    <t>PRICE</t>
  </si>
  <si>
    <t>PRODUCT NAME</t>
  </si>
  <si>
    <t>PRODUCT SIZE</t>
  </si>
  <si>
    <t>COLOUR</t>
  </si>
  <si>
    <t>AZURE</t>
  </si>
  <si>
    <t>SAGE</t>
  </si>
  <si>
    <t>24 X 18</t>
  </si>
  <si>
    <t>CROMA</t>
  </si>
  <si>
    <t>24 X 20</t>
  </si>
  <si>
    <t>31 X 20</t>
  </si>
  <si>
    <t>34 X 20</t>
  </si>
  <si>
    <t>32 X 19</t>
  </si>
  <si>
    <t>24 X 19</t>
  </si>
  <si>
    <t>30 X 19</t>
  </si>
  <si>
    <t>40 X 20</t>
  </si>
  <si>
    <t>20 X 20</t>
  </si>
  <si>
    <t>SNOVA WITH ROSE GOLD ACCESSORIES</t>
  </si>
  <si>
    <t>DEEP BLACK WITH ROSE GOLD ACCESSORIES</t>
  </si>
  <si>
    <t>CONCRETE WITH BLACK ACCESSORIES</t>
  </si>
  <si>
    <t>METALLICO WITH ROSE GOLD ACCESSORIES</t>
  </si>
  <si>
    <t>MUSHROOM WITH BLACK ACCESSORIES</t>
  </si>
  <si>
    <t>22 X 20</t>
  </si>
  <si>
    <t>21 X 18</t>
  </si>
  <si>
    <t xml:space="preserve">CHARCOAL </t>
  </si>
  <si>
    <t>SNOW</t>
  </si>
  <si>
    <t>GRAPHITE</t>
  </si>
  <si>
    <t>SAND</t>
  </si>
  <si>
    <t>36 X 18</t>
  </si>
  <si>
    <t>14 X 18</t>
  </si>
  <si>
    <t>17 X 18</t>
  </si>
  <si>
    <t>NERA</t>
  </si>
  <si>
    <t>MUSHROOM</t>
  </si>
  <si>
    <t>METALLIC BASALT GREY</t>
  </si>
  <si>
    <t>16 X 16</t>
  </si>
  <si>
    <t>18 X 16</t>
  </si>
  <si>
    <t>18 X 18</t>
  </si>
  <si>
    <t>46 X 20</t>
  </si>
  <si>
    <t>36 X 20</t>
  </si>
  <si>
    <t>LARGO 3620  / DOUBLE BOWL</t>
  </si>
  <si>
    <t>LARGO 4520 / DOUBLE BOWL</t>
  </si>
  <si>
    <t>45 X 20</t>
  </si>
  <si>
    <t>31 X 18 x 9</t>
  </si>
  <si>
    <t>24 X 18 X 9</t>
  </si>
  <si>
    <t>HARMONY SD 780 / SINGLE BOWL</t>
  </si>
  <si>
    <t xml:space="preserve">METALLICO </t>
  </si>
  <si>
    <t xml:space="preserve">DEEP BLACK </t>
  </si>
  <si>
    <t xml:space="preserve">34 X 20 </t>
  </si>
  <si>
    <t xml:space="preserve">STEEL SINK </t>
  </si>
  <si>
    <t>22 X 20 X 8</t>
  </si>
  <si>
    <t xml:space="preserve">CHROME </t>
  </si>
  <si>
    <t>24 X 20 X 8</t>
  </si>
  <si>
    <t>30 X 20 X 8</t>
  </si>
  <si>
    <t>WITH FAUCET INOX 100</t>
  </si>
  <si>
    <t>WITH FAUCET INOX 2202</t>
  </si>
  <si>
    <t>WITH FAUCET INOX 2201</t>
  </si>
  <si>
    <t xml:space="preserve">57 X 19 X 10 </t>
  </si>
  <si>
    <t>32 X 18 X 9</t>
  </si>
  <si>
    <t xml:space="preserve">TOP MOUNT </t>
  </si>
  <si>
    <t xml:space="preserve">UNDER MOUNT </t>
  </si>
  <si>
    <t>30 X 20 X 9</t>
  </si>
  <si>
    <t>SATIN MATT</t>
  </si>
  <si>
    <t>PVD GOLD</t>
  </si>
  <si>
    <t xml:space="preserve">SS - PVD COLLECTION GUNMETAL PMQ-10 / SB </t>
  </si>
  <si>
    <t>17 X 17 X 8</t>
  </si>
  <si>
    <t xml:space="preserve">GOLD </t>
  </si>
  <si>
    <t xml:space="preserve">SS - PVD COLLECTION GUNMETAL PMQ-2 / SB </t>
  </si>
  <si>
    <t>21 X 18 X 8</t>
  </si>
  <si>
    <t xml:space="preserve">SS - PVD COLLECTION GUNMETAL PMQ-3 / SB </t>
  </si>
  <si>
    <t xml:space="preserve">24 X 18 X 8 </t>
  </si>
  <si>
    <t>ROSE GOLD</t>
  </si>
  <si>
    <t xml:space="preserve">SS - PVD COLLECTION GUNMETAL PMQ-6 / SB </t>
  </si>
  <si>
    <t>31 X 17 X 8</t>
  </si>
  <si>
    <t>34 X 17 X 8</t>
  </si>
  <si>
    <t>21 X 18 X 9</t>
  </si>
  <si>
    <t xml:space="preserve">33 X 22 X 9 </t>
  </si>
  <si>
    <t>46 X 20 X 8</t>
  </si>
  <si>
    <t>34 X 18 X 9</t>
  </si>
  <si>
    <t xml:space="preserve">40 X 18 X 9 </t>
  </si>
  <si>
    <t xml:space="preserve">45 X 18 X 9 </t>
  </si>
  <si>
    <t xml:space="preserve">36 X 18 X 8 </t>
  </si>
  <si>
    <t>40 X 20 X 9</t>
  </si>
  <si>
    <t xml:space="preserve">45 X 20 X 9 </t>
  </si>
  <si>
    <t>18 X 18 X 10</t>
  </si>
  <si>
    <t>25 X 22 X 10</t>
  </si>
  <si>
    <t>33 X 22 X 8</t>
  </si>
  <si>
    <t xml:space="preserve">33 X 22 X 10 </t>
  </si>
  <si>
    <t>1.5 MM</t>
  </si>
  <si>
    <t xml:space="preserve">1.5 MM </t>
  </si>
  <si>
    <t xml:space="preserve">17 X 17 X 8 </t>
  </si>
  <si>
    <t>1 MM</t>
  </si>
  <si>
    <t>21 X 17 X 8</t>
  </si>
  <si>
    <t xml:space="preserve">21 X 18 X 8 </t>
  </si>
  <si>
    <t xml:space="preserve">1 MM </t>
  </si>
  <si>
    <t>24 X 18 X 8</t>
  </si>
  <si>
    <t xml:space="preserve">27 X 17 X 9 </t>
  </si>
  <si>
    <t>31 X 17 X 9</t>
  </si>
  <si>
    <t>36 X 20 X 8</t>
  </si>
  <si>
    <t xml:space="preserve">40 X 20 X 8 </t>
  </si>
  <si>
    <t>21 X 20 X 8</t>
  </si>
  <si>
    <t xml:space="preserve">24 X 20 X 8 </t>
  </si>
  <si>
    <t xml:space="preserve">31 X 20 X 8 </t>
  </si>
  <si>
    <t>35 X 20 X 8</t>
  </si>
  <si>
    <t>45 X 20 X 9</t>
  </si>
  <si>
    <t xml:space="preserve">18 X 16 X 8 </t>
  </si>
  <si>
    <t xml:space="preserve">20 X 17 X 8 </t>
  </si>
  <si>
    <t>30 X 18 X 8</t>
  </si>
  <si>
    <t>36 X 18 X 8</t>
  </si>
  <si>
    <t xml:space="preserve">36 X 18 X 9 </t>
  </si>
  <si>
    <t>34 X 20 X 8</t>
  </si>
  <si>
    <t>40 X 20 X 8</t>
  </si>
  <si>
    <t>45 X 20 X 8</t>
  </si>
  <si>
    <t xml:space="preserve">46 X 20 X 9 </t>
  </si>
  <si>
    <t xml:space="preserve">52 X 20 X 8 </t>
  </si>
  <si>
    <t>18 X 16 X 8</t>
  </si>
  <si>
    <t>0.8 MM</t>
  </si>
  <si>
    <t>20 X 17 X 8</t>
  </si>
  <si>
    <t>18 X 16 X 7</t>
  </si>
  <si>
    <t>1 MM - GLOSS FINISH</t>
  </si>
  <si>
    <t>19 X 16 X 7</t>
  </si>
  <si>
    <t>1 MM - MATT FINISH</t>
  </si>
  <si>
    <t>18 X 18 X 7</t>
  </si>
  <si>
    <t xml:space="preserve">22 X 18 X 8 </t>
  </si>
  <si>
    <t>24 X 18 X 10</t>
  </si>
  <si>
    <t xml:space="preserve">30 X 18 X 9 </t>
  </si>
  <si>
    <t xml:space="preserve">27 X 18 X 7 </t>
  </si>
  <si>
    <t>32 X 18 X 7</t>
  </si>
  <si>
    <t>36 X 20 X 9</t>
  </si>
  <si>
    <t>45 X 20 X 10</t>
  </si>
  <si>
    <t xml:space="preserve">39 X 18 X 8 </t>
  </si>
  <si>
    <t>APPLIANCES</t>
  </si>
  <si>
    <t>CHIMNEY - ARBOR</t>
  </si>
  <si>
    <t>100 CM</t>
  </si>
  <si>
    <t>INOX + BLACK GLASS</t>
  </si>
  <si>
    <t xml:space="preserve">CHIMNEY - BOWER </t>
  </si>
  <si>
    <t>90 CM</t>
  </si>
  <si>
    <t xml:space="preserve">CHIMNEY - RAILING </t>
  </si>
  <si>
    <t xml:space="preserve">90 + 90 CM </t>
  </si>
  <si>
    <t>CHIMNEY - STUTTGART</t>
  </si>
  <si>
    <t>CHIMNEY - MUNICH</t>
  </si>
  <si>
    <t xml:space="preserve">75 CM </t>
  </si>
  <si>
    <t>CHIMNEY - ABWASSER</t>
  </si>
  <si>
    <t>CHIMNEY - BERLIN</t>
  </si>
  <si>
    <t xml:space="preserve">60 CM </t>
  </si>
  <si>
    <t xml:space="preserve">90 CM </t>
  </si>
  <si>
    <t>CHIMNEY - MEGNA 90</t>
  </si>
  <si>
    <t xml:space="preserve">CHIMNEY - SPLIT 90 </t>
  </si>
  <si>
    <t>CHIMNEY - CRYSTA PLUS BLDC</t>
  </si>
  <si>
    <t xml:space="preserve">CHIMNEY - STARSHIP </t>
  </si>
  <si>
    <t xml:space="preserve">CHIMNEY - SAND </t>
  </si>
  <si>
    <t>CHIMNEY - TUNE S</t>
  </si>
  <si>
    <t>CHIMNEY - TUNE C</t>
  </si>
  <si>
    <t>CHIMNEY - TUNE T</t>
  </si>
  <si>
    <t>CHIMNEY - MIRACLE</t>
  </si>
  <si>
    <t>CHIMNEY - CRYSTA PLUS</t>
  </si>
  <si>
    <t>CHIMNEY - CIAZ</t>
  </si>
  <si>
    <t>CHIMNEY - DEZIRE PLUS</t>
  </si>
  <si>
    <t>CHIMNEY - SMART IOT</t>
  </si>
  <si>
    <t>CHIMNEY - MOON WALK BLACK</t>
  </si>
  <si>
    <t>SMART HOBS - CX 60 - 4</t>
  </si>
  <si>
    <t>SMART HOBS - CX 90 - 5</t>
  </si>
  <si>
    <t>4 NOS</t>
  </si>
  <si>
    <t>5 NOS</t>
  </si>
  <si>
    <t>SMART HOBS - TRIZONE</t>
  </si>
  <si>
    <t>1 NOS</t>
  </si>
  <si>
    <t>3 NOS</t>
  </si>
  <si>
    <t xml:space="preserve">3 NOS </t>
  </si>
  <si>
    <t>SMART HOBS - TEK PLUS 75 - 3</t>
  </si>
  <si>
    <t>SMART HOBS - TEK PLUS 60 - 4</t>
  </si>
  <si>
    <t>SMART HOBS - TEK PLUS 90 - 4</t>
  </si>
  <si>
    <t xml:space="preserve">4 NOS </t>
  </si>
  <si>
    <t>SMART HOBS - TEK PLUS 90 - 5</t>
  </si>
  <si>
    <t>4 ZONE</t>
  </si>
  <si>
    <t>SMART HOBS - KOLN INDUCTION + HOOD</t>
  </si>
  <si>
    <t>SMART HOBS - BIH - 01  BUILT IN INDUCTION HOB</t>
  </si>
  <si>
    <t>4 FLEXI ZONE</t>
  </si>
  <si>
    <t>2 ZONE</t>
  </si>
  <si>
    <t>SMART HOBS - BIH - 02  BUILT IN INDUCTION HOB</t>
  </si>
  <si>
    <t xml:space="preserve">SMART HOBS - OLIVE 3 </t>
  </si>
  <si>
    <t>SMART HOBS - OLIVE  4</t>
  </si>
  <si>
    <t xml:space="preserve">SMART HOBS - HORNET 3 </t>
  </si>
  <si>
    <t xml:space="preserve">SMART HOBS - HORNET 4 </t>
  </si>
  <si>
    <t>15 PLACE SETTINGS+FULLY INTEGRATED</t>
  </si>
  <si>
    <t>15 PLACE SETTINGS+SEMI INTEGRATED</t>
  </si>
  <si>
    <t>14 PLACE SETTINGS</t>
  </si>
  <si>
    <t>8 PLACE SETTINGS</t>
  </si>
  <si>
    <t>SMART INDUCTION - FSCR 01</t>
  </si>
  <si>
    <t>SMART INDUCTION - FSCR 04</t>
  </si>
  <si>
    <t>SMART OVENS &amp; MICOWAVES - BIO - 01</t>
  </si>
  <si>
    <t>SMART OVENS &amp; MICOWAVES - BIO - 02</t>
  </si>
  <si>
    <t>SMART OVENS &amp; MICOWAVES - BIO - 05</t>
  </si>
  <si>
    <t>SMART OVENS &amp; MICOWAVES - BIO - 06</t>
  </si>
  <si>
    <t>SMART OVENS &amp; MICOWAVES - BIO - 07</t>
  </si>
  <si>
    <t>SMART OVENS &amp; MICOWAVES - MWO - 1</t>
  </si>
  <si>
    <t>SMART OVENS &amp; MICOWAVES - MWO - 2</t>
  </si>
  <si>
    <t xml:space="preserve">SMART REFRIGERATORS - SLOT - IN FREE STANDING </t>
  </si>
  <si>
    <t>CAPACITY 503 L</t>
  </si>
  <si>
    <t>SMART REFRIGERATORS - BIF 03 BUILT IN</t>
  </si>
  <si>
    <t>CAPACITY 341 L</t>
  </si>
  <si>
    <t>SMART REFRIGERATORS - BIF 02 BUILT IN</t>
  </si>
  <si>
    <t>CAPACITY 244 L</t>
  </si>
  <si>
    <t>SMART WINE &amp; CHILLERS - CW 165</t>
  </si>
  <si>
    <t>SMART WINE &amp; CHILLERS - CW 40 - RETRO</t>
  </si>
  <si>
    <t>SMART WINE &amp; CHILLERS - CW 46</t>
  </si>
  <si>
    <t>SMART WINE &amp; CHILLERS - CW 77</t>
  </si>
  <si>
    <t>SMART WINE &amp; CHILLERS - CW 24</t>
  </si>
  <si>
    <t>SMART WINE &amp; CHILLERS - CW 38</t>
  </si>
  <si>
    <t>SMART WINE &amp; CHILLERS - CW 120</t>
  </si>
  <si>
    <t>SMART CIGAR HUMIDOR - CIGAR 212</t>
  </si>
  <si>
    <t>SMART COFFEE MAKERS - COFFEE MAKER 01</t>
  </si>
  <si>
    <t>SMART COFFEE MAKERS - COFFEE MAKER 02</t>
  </si>
  <si>
    <t>SMART BUILT - IN FRYER</t>
  </si>
  <si>
    <t>SMART BUILT - IN BARBEQUE</t>
  </si>
  <si>
    <t xml:space="preserve">FAUCET - MAGIC 6 IN ONE </t>
  </si>
  <si>
    <t>BRUSHED YELLOW GOLD</t>
  </si>
  <si>
    <t xml:space="preserve">FAUCET - MAGIC 4 IN ONE </t>
  </si>
  <si>
    <t>FAUCET - QUADRATE KNURLING 01</t>
  </si>
  <si>
    <t>FAUCET - QUADRATE KNURLING 02</t>
  </si>
  <si>
    <t xml:space="preserve">YELLOW GOLD </t>
  </si>
  <si>
    <t>FAUCET - QUADRATE KNURLING 03</t>
  </si>
  <si>
    <t xml:space="preserve">BRUSH GOLD </t>
  </si>
  <si>
    <t>PULL OUT/HOT &amp; COLD</t>
  </si>
  <si>
    <t>GUN METAL</t>
  </si>
  <si>
    <t xml:space="preserve">GUN METAL </t>
  </si>
  <si>
    <t>GOLD FINISH</t>
  </si>
  <si>
    <t>SATIN</t>
  </si>
  <si>
    <t>GOLD</t>
  </si>
  <si>
    <t xml:space="preserve">GUN METAL + GOLD FINISH </t>
  </si>
  <si>
    <t>MATT METAL</t>
  </si>
  <si>
    <t>BRUSH GOLD FINISH</t>
  </si>
  <si>
    <t xml:space="preserve">FAUCET - CHICAGO 01 </t>
  </si>
  <si>
    <t xml:space="preserve">MATT BLACK </t>
  </si>
  <si>
    <t>FAUCET - CHICAGO 02</t>
  </si>
  <si>
    <t>MATTE BLACK</t>
  </si>
  <si>
    <t>CHROME</t>
  </si>
  <si>
    <t>FAUCET - CHICAGO 03</t>
  </si>
  <si>
    <t xml:space="preserve">FAUCET - AMAZE 02 </t>
  </si>
  <si>
    <t>FAUCET - AMAZE 03</t>
  </si>
  <si>
    <t xml:space="preserve">SATIN </t>
  </si>
  <si>
    <t xml:space="preserve">MATTE BLACK + PVD </t>
  </si>
  <si>
    <t>FAUCET - AMAZE 04</t>
  </si>
  <si>
    <t>FAUCET - ALA 2301 / PULL OUT - HOT &amp; COLD</t>
  </si>
  <si>
    <t>NICKEL BRUSH</t>
  </si>
  <si>
    <t>FAUCET - ALA 2401 / PULL OUT - HOT &amp; COLD</t>
  </si>
  <si>
    <t>FAUCET - FHF 01 / HOT &amp; COLD</t>
  </si>
  <si>
    <t>ANTIQUE BRONZE</t>
  </si>
  <si>
    <t>FAUCET - VINTAGE FARMHOUSE  02</t>
  </si>
  <si>
    <t xml:space="preserve">ROSE GOLD </t>
  </si>
  <si>
    <t xml:space="preserve">MATTE BLACK </t>
  </si>
  <si>
    <t xml:space="preserve">SATIN FINISH </t>
  </si>
  <si>
    <t xml:space="preserve">CHROME FINISH </t>
  </si>
  <si>
    <t>FAUCET - ALA 2203 / HOT &amp; COLD TAP</t>
  </si>
  <si>
    <t xml:space="preserve">MATTE BLACK+ ROSE GOLD </t>
  </si>
  <si>
    <t>MATTE BLACK+ GOLD</t>
  </si>
  <si>
    <t>FAUCET - ASL 2202 / PULL OUT - HOT &amp; COLD</t>
  </si>
  <si>
    <t>FAUCET - ALA 1513 / PULL OUT - HOT &amp; COLD</t>
  </si>
  <si>
    <t>FAUCET - ALA 1514 / PULL OUT - HOT &amp; COLD</t>
  </si>
  <si>
    <t xml:space="preserve">MATTE BLACK + ROSE GOLD </t>
  </si>
  <si>
    <t>FAUCET - MAXIMUS MX 35 / PULL OUT - HOT &amp; COLD</t>
  </si>
  <si>
    <t xml:space="preserve">BRUSHED GOLD </t>
  </si>
  <si>
    <t xml:space="preserve">FAUCET - MAXIMUS MX - WALL MOUNT </t>
  </si>
  <si>
    <t>FAUCET - ASL 2201 / HOT &amp; COLD</t>
  </si>
  <si>
    <t>FAUCET - ALA 1504 / HOT &amp; COLD</t>
  </si>
  <si>
    <t xml:space="preserve">NERA </t>
  </si>
  <si>
    <t>CORNFLAKE</t>
  </si>
  <si>
    <t>FAUCET - QUBIX 01  / WALLMOUNT</t>
  </si>
  <si>
    <t>FAUCET - QUBIX 02  / WALLMOUNT</t>
  </si>
  <si>
    <t>FAUCET - QUBIX 03  / WALLMOUNT</t>
  </si>
  <si>
    <t>FAUCET - WMF 01  / WALLMOUNT</t>
  </si>
  <si>
    <t>FAUCET - WMF 02  / WALLMOUNT</t>
  </si>
  <si>
    <t>FAUCET - WMF 03  / WALLMOUNT</t>
  </si>
  <si>
    <t>FAUCET - VINTAGE FARMHOUSE 03 / WALLMOUNT</t>
  </si>
  <si>
    <t>FAUCET - CLASSIC WMF 04 / WALLMOUNT</t>
  </si>
  <si>
    <t>FAUCET - ALA 1510  - WATER DISPENSER</t>
  </si>
  <si>
    <t xml:space="preserve">GLASS RINSER </t>
  </si>
  <si>
    <t xml:space="preserve">FAUCET - ATOMIX  </t>
  </si>
  <si>
    <t>FAUCET - SWAN SS INOX</t>
  </si>
  <si>
    <t>YELLOW GOLD</t>
  </si>
  <si>
    <t xml:space="preserve">FAUCET - MAXIMUS SS INOX </t>
  </si>
  <si>
    <t xml:space="preserve">FAUCET - ALA 1511 </t>
  </si>
  <si>
    <t>FAUCET - ALA 1506</t>
  </si>
  <si>
    <t>FAUCET - ALA 1509</t>
  </si>
  <si>
    <t>33 X 22 X 10</t>
  </si>
  <si>
    <t>SS - PVD COLLECTION GUNMETAL PMQ-9 /DOUBLE BOWL</t>
  </si>
  <si>
    <t xml:space="preserve"> </t>
  </si>
  <si>
    <t>SK CRYSTAL 2118 / SINGLE BOWL</t>
  </si>
  <si>
    <t>SK CRYSTAL 2418  / SINGLE BOWL</t>
  </si>
  <si>
    <t>NEO SALSA / SINGLE BOWL</t>
  </si>
  <si>
    <t>MAGIC SALSA  / SINGLE BOWL</t>
  </si>
  <si>
    <t>SALSA  / SINGLE BOWL</t>
  </si>
  <si>
    <t>BIG BOWL  / SINGLE BOWL</t>
  </si>
  <si>
    <t>ROCK ROUND / SINGLE BOWL</t>
  </si>
  <si>
    <t>CONCRETE</t>
  </si>
  <si>
    <t>CHAMPAGNE</t>
  </si>
  <si>
    <t>SNOVA</t>
  </si>
  <si>
    <t>SMART WINE &amp; CHILLERS - CW 18 BUILT IN CHILLER</t>
  </si>
  <si>
    <t xml:space="preserve">WARMING DRAWER - DISHES FOR A MEAL FOR 6 PLATE </t>
  </si>
  <si>
    <t xml:space="preserve">RATE </t>
  </si>
  <si>
    <t>% PERCENTAGE</t>
  </si>
  <si>
    <t>INTREST - %</t>
  </si>
  <si>
    <t>TOTAL SUB +</t>
  </si>
  <si>
    <t>TOTAL MINUS -</t>
  </si>
  <si>
    <t>SS -NEW WORKSTATION 550 / SB - SEMI*LOADED</t>
  </si>
  <si>
    <t>SS - NEW WORKSTATION 610 / SB - SEMI*LOADED</t>
  </si>
  <si>
    <t>SS - NEW WORKSTATION 750 / SB - SEMI*LOADED</t>
  </si>
  <si>
    <t>SS - NEW WORKSTATION 550 / SB - FULLY*LOADED</t>
  </si>
  <si>
    <t>SS - NEW WORKSTATION 610 / SB - FULLY*LOADED</t>
  </si>
  <si>
    <t>SS - NEW WORKSTATION 750 / SB -FULLY*LOADED</t>
  </si>
  <si>
    <t xml:space="preserve">SS - NEW FAMILY SINK / SINGLE BOWL + DB </t>
  </si>
  <si>
    <t>SS - NEW ATOMIC WORKSTATION / SINGLE BOWL</t>
  </si>
  <si>
    <t>SS - NEW GRACE SERIES 21189 / SINGLE BOWL</t>
  </si>
  <si>
    <t>SS - NEW GRACE SERIES 24189 / SINGLE BOWL</t>
  </si>
  <si>
    <t>SS - NEW APRON SERIES STRAIT / SINGLE BOWL</t>
  </si>
  <si>
    <t>SS - NEW APRON SERIES RADIUS / SINGLE BOWL</t>
  </si>
  <si>
    <t>SS - NEW HAMBURG SERIES RHD / SINGLE BOWL</t>
  </si>
  <si>
    <t>SS - NEW HAMBURG SERIES LHD / SINGLE BOWL</t>
  </si>
  <si>
    <t>SS - NEW MIAMI 1.5 MM - ADB 3322 / DOUBLE BOWL</t>
  </si>
  <si>
    <t>AZURE  PRM</t>
  </si>
  <si>
    <t>WALTZ 560 FE / SINGLE BOWL - FULLY* LOADED</t>
  </si>
  <si>
    <t>WALTZ 610 / SINGLE BOWL - FULLY* LOADED</t>
  </si>
  <si>
    <t>WALTZ 780 / SINGLE BOWL - FULLY* LOADED</t>
  </si>
  <si>
    <t>SS - QUADRO SERIES  36188 / SINGLE BOWL+DB</t>
  </si>
  <si>
    <t>SS - QUADRO SERIES  40208 / SINGLE BOWL+DB</t>
  </si>
  <si>
    <t>SS - ELEGANCE SERIES 18167 / SINGLE BOWL</t>
  </si>
  <si>
    <t>SS - ELEGANCE SERIES 19167 / SINGLE BOWL</t>
  </si>
  <si>
    <t>SS - ELEGANCE SERIES 18187 / SINGLE BOWL</t>
  </si>
  <si>
    <t>SS - ELEGANCE SERIES 21188 / SINGLE BOWL</t>
  </si>
  <si>
    <t>SS - ELEGANCE SERIES 21189 / SINGLE BOWL</t>
  </si>
  <si>
    <t>SS - ELEGANCE SERIES 22188 / SINGLE BOWL</t>
  </si>
  <si>
    <t>SS - ELEGANCE SERIES 24188 / SINGLE BOWL</t>
  </si>
  <si>
    <t>SS - ELEGANCE SERIES 24189 / SINGLE BOWL</t>
  </si>
  <si>
    <t>SS - ELEGANCE SERIES 241810 / SINGLE BOWL</t>
  </si>
  <si>
    <t>SS - ELEGANCE SERIES 30188 / SINGLE BOWL</t>
  </si>
  <si>
    <t>SS - ELEGANCE SERIES 30189 / SINGLE BOWL</t>
  </si>
  <si>
    <t>SS - VOGUE SERIES  27187 / SINGLE BOWL + DB</t>
  </si>
  <si>
    <t>SS - VOGUE SERIES  32187 / SINGLE BOWL + DB</t>
  </si>
  <si>
    <t>SS - VOGUE SERIES 34208 / SINGLE BOWL + DB</t>
  </si>
  <si>
    <t>SS - VOGUE SERIES 36188 / SINGLE BOWL + DB</t>
  </si>
  <si>
    <t>SS - VOGUE SERIES 36208 / SINGLE BOWL + DB</t>
  </si>
  <si>
    <t>SS - VOGUE SERIES 36209 / SINGLE BOWL + DB</t>
  </si>
  <si>
    <t>SS - VOGUE SERIES 40209 / SINGLE BOWL+ DB</t>
  </si>
  <si>
    <t>CRATER / MONTANA</t>
  </si>
  <si>
    <t>ESPRESSO / BROWN</t>
  </si>
  <si>
    <t>DEEP BLACK</t>
  </si>
  <si>
    <t>DEEP BLACK / WITH PLUMBING KIT</t>
  </si>
  <si>
    <t xml:space="preserve">JET BLACK </t>
  </si>
  <si>
    <t>CORNFLAKES</t>
  </si>
  <si>
    <t xml:space="preserve">46 X 20 </t>
  </si>
  <si>
    <t xml:space="preserve">CROMA </t>
  </si>
  <si>
    <t>33 X 22</t>
  </si>
  <si>
    <t>SS - QUADRO SERIES  45209 / DOUBLE BOWL</t>
  </si>
  <si>
    <t>SS - QUADRO SERIES  45208 / DOUBLE BOWL</t>
  </si>
  <si>
    <t>SS - QUADRO SERIES  34208 / DOUBLE BOWL</t>
  </si>
  <si>
    <t>SS - QUADRO SERIES  36188 / DOUBLE BOWL</t>
  </si>
  <si>
    <t>SS - QUADRO SERIES  40208 / DOUBLE BOWL</t>
  </si>
  <si>
    <t>SS - QUADRO SERIES 18168 / SINGLE BOWL</t>
  </si>
  <si>
    <t>SS - QUADRO SERIES 20178 / SINGLE BOWL</t>
  </si>
  <si>
    <t>SS - QUADRO SERIES 21188 / SINGLE BOWL</t>
  </si>
  <si>
    <t>SS - QUADRO SERIES 21189 / SINGLE BOWL</t>
  </si>
  <si>
    <t>SS - QUADRO SERIES 24188 / SINGLE BOWL</t>
  </si>
  <si>
    <t>SS - QUADRO SERIES  30188 / SINGLE BOWL</t>
  </si>
  <si>
    <t>SS - QUADRO SERIES  36189 / SINGLE BOWL+DB</t>
  </si>
  <si>
    <t>SS - QUADRO SERIES  40209 / SINGLE BOWL+DB</t>
  </si>
  <si>
    <t>SS - QUADRO SERIES  45209 / SINGLE BOWL+DB</t>
  </si>
  <si>
    <t>SS - AMERICAN DESIGN 332210 / DOUBLE BOWL</t>
  </si>
  <si>
    <t>SS - GERMAN DESIGN LH / SINGLE BOWL + DB</t>
  </si>
  <si>
    <t>SS - GERMAN DESIGN RH / SINGLE BOWL + DB</t>
  </si>
  <si>
    <t>SS - VOGUE SERIES MONOPRESS / SINGLE BOWL +DB</t>
  </si>
  <si>
    <t>SS - QUADRO SERIES  46209 / DOUBLE BOWL+DB</t>
  </si>
  <si>
    <t>SS - QUADRO SERIES  52208 / DOUBLE BOWL+DB</t>
  </si>
  <si>
    <t>SS - WALTZ MICRO RADIUS R10 21208 / SINGLE BOWL</t>
  </si>
  <si>
    <t>SS - WALTZ MICRO RADIUS R10 24208 / SINGLE BOWL</t>
  </si>
  <si>
    <t>SS - WALTZ MICRO RADIUS R10 31208 / SINGLE BOWL</t>
  </si>
  <si>
    <t>SS - WALTZ MICRO RADIUS R10 35208 / DOUBLE BOWL</t>
  </si>
  <si>
    <t>SS - WALTZ MICRO RADIUS R10 45209 / DOUBLE BOWL</t>
  </si>
  <si>
    <t>SS - NEW MIAMI SERIES ASB 1818 / SINGLE BOWL</t>
  </si>
  <si>
    <t>SS - NEW MIAMI SERIES ASB 2522 / SINGLE BOWL</t>
  </si>
  <si>
    <t>SS - NEW MIAMI SERIES ASB 3322 / SINGLE BOWL</t>
  </si>
  <si>
    <t>SS - NEW FK SERIES / SINGLE BOWL</t>
  </si>
  <si>
    <t>SS - MICRO RADIUS R10 17178 / SINGLE BOWL</t>
  </si>
  <si>
    <t>SS - MICRO RADIUS R10 21178 / SINGLE BOWL</t>
  </si>
  <si>
    <t>SS - MICRO RADIUS R10 24188 / SINGLE BOWL</t>
  </si>
  <si>
    <t>SS - MICRO RADIUS R10 24189 / SINGLE BOWL</t>
  </si>
  <si>
    <t>SS - MICRO RADIUS R10 27179 / SINGLE BOWL</t>
  </si>
  <si>
    <t>SS - MICRO RADIUS R10 31179 / SINGLE BOWL</t>
  </si>
  <si>
    <t>SS - MICRO RADIUS R10 36188 / SB+WITH DRAINER</t>
  </si>
  <si>
    <t>SS - MICRO RADIUS R10 36208 / SB+WITH DRAINER</t>
  </si>
  <si>
    <t>SS - MICRO RADIUS R10 40208 / SB+WITH DRAINER</t>
  </si>
  <si>
    <t>FAUCET - INOX 100 MAGIC SENSO TOUCH SENSOR</t>
  </si>
  <si>
    <t xml:space="preserve">FAUCET - CL  2501 </t>
  </si>
  <si>
    <t>FAUCET - CL  2502</t>
  </si>
  <si>
    <t>FAUCET - CL  2503</t>
  </si>
  <si>
    <t>FAUCET - CL  2515</t>
  </si>
  <si>
    <t>FAUCET - CL  2508</t>
  </si>
  <si>
    <t>FAUCET - CL  2510</t>
  </si>
  <si>
    <t>FAUCET - CL  2506</t>
  </si>
  <si>
    <t>FAUCET - CL  2507</t>
  </si>
  <si>
    <t>FAUCET - CL  2504</t>
  </si>
  <si>
    <t>FAUCET - CL  2509</t>
  </si>
  <si>
    <t>FAUCET - MX 05 / PULL OUT - HOT &amp; COLD</t>
  </si>
  <si>
    <t>FAUCET - ALA 1512 / PULL OUT - HOT &amp; COLD</t>
  </si>
  <si>
    <t xml:space="preserve">FAUCET - COLDTAP  CT  01 </t>
  </si>
  <si>
    <t>FAUCET - COLDTAP  CT  02</t>
  </si>
  <si>
    <t>FAUCET - COLDTAP  CT  03</t>
  </si>
  <si>
    <t>FAUCET - ALA 1507</t>
  </si>
  <si>
    <t>FAUCET - ALA 2402</t>
  </si>
  <si>
    <t xml:space="preserve">SS - VOGUE SERIES 46208 / DOUBLE BOWL+1&amp; HALF BOWL + DB </t>
  </si>
  <si>
    <t xml:space="preserve">SS - VOGUE SERIES 40208 / DOUBLE BOWL+1&amp; HALF BOWL + DB </t>
  </si>
  <si>
    <t xml:space="preserve">SS - VOGUE SERIES 39188 / DOUBLE BOWL+1&amp; HALF BOWL + DB </t>
  </si>
  <si>
    <t>SS - QUADRO SERIES 24189 / SINGLE BOWL</t>
  </si>
  <si>
    <t>SS - MICRO RADIUS R10 21188 / SINGLE BOWL</t>
  </si>
  <si>
    <t>SMART SERIES CGDB 850 / DOUBLE BOWL</t>
  </si>
  <si>
    <t xml:space="preserve">SWAN NEW ASCEND D 100 / SINGLE BOWL + DB </t>
  </si>
  <si>
    <t>TIP TOE N 200 LD / DOUBLE BOWL</t>
  </si>
  <si>
    <t>TIP TOE  D 200 / DOUBLE BOWL + DB</t>
  </si>
  <si>
    <t xml:space="preserve">VIVALDI  D 200 / DOUBLE BOWL + DB </t>
  </si>
  <si>
    <t>NEW BEETHOVEN D 100 L / SINGLE BOWL + DB</t>
  </si>
  <si>
    <t xml:space="preserve">NEW BEETHOVEN D 100 / SINGLE BOWL + DB </t>
  </si>
  <si>
    <t>JUMBO BOWL  N 100 / SINGLE BOWL</t>
  </si>
  <si>
    <t>JAZZ  D 200 / DOUBLE BOWL + DB</t>
  </si>
  <si>
    <t xml:space="preserve">JAZZ  D 100 L / SINGLE BOWL + DB </t>
  </si>
  <si>
    <t>VIVALDI N 200  / DOUBLE BOWL+ONE &amp; HALF BOWL</t>
  </si>
  <si>
    <t>VIVALDI D 100 L  / SINGLE BOWL + DB</t>
  </si>
  <si>
    <t>VIVALDI D 100 L 3618 / SINGLE BOWL + DB</t>
  </si>
  <si>
    <t>VIVALDI D 100  / SINGLE BOWL + DB</t>
  </si>
  <si>
    <t>ENIGMA D 200 / DOUBLE  BOWL + DB</t>
  </si>
  <si>
    <t xml:space="preserve">TIP TOE D 200 / DOUBLE BOWL + DB </t>
  </si>
  <si>
    <t>TIP TOE D 100 L / SINGLE BOWL + DB</t>
  </si>
  <si>
    <t>NEW JUMBO N 100 L 875 / SINGLE BOWL</t>
  </si>
  <si>
    <t>SMART SERIES  SM 530 / SINGLE BOWL</t>
  </si>
  <si>
    <t>SMART SERIES  SM 430 / SINGLE BOWL</t>
  </si>
  <si>
    <t>SMART SERIES  SM 370  / SINGLE BOWL</t>
  </si>
  <si>
    <t>SK CRYSTAL 3618  / SINGLE BOWL + DB</t>
  </si>
  <si>
    <t>WALTZ 780 / SINGLE BOWL - SEMI* LOADED</t>
  </si>
  <si>
    <t>WALTZ 610 / SINGLE BOWL - SEMI* LOADED</t>
  </si>
  <si>
    <t>WALTZ 560 FE / SINGLE BOWL - SEMI* LOADED</t>
  </si>
  <si>
    <t>NEW RIMO D 100 L / SINGLE BOWL + DB</t>
  </si>
  <si>
    <t>NEW TIP TOE N 200 LD / DOUBLE BOWL</t>
  </si>
  <si>
    <t>NEW TIP TOE D 100 B / SINGLE BOWL + DB</t>
  </si>
  <si>
    <t>NEW TIP TOE D 100 S / SINGLE BOWL + DB</t>
  </si>
  <si>
    <t>NEW TIP TOE D 100 N / SINGLE BOWL + DB</t>
  </si>
  <si>
    <t>NEW LOUNGE N 200 / DOUBLE BOWL</t>
  </si>
  <si>
    <t>NEW LOUNGE N 100 /SINGLE BOWL</t>
  </si>
  <si>
    <t>NEW ENIGMA D 100 B / SINGLE BOWL + DB</t>
  </si>
  <si>
    <t>NEW ENIGMA D 100 S / SINGLE BOWL + DB</t>
  </si>
  <si>
    <t xml:space="preserve"> HARMONY 2418 BIG B / SINGLE BOWL</t>
  </si>
  <si>
    <t>COPPER</t>
  </si>
  <si>
    <t xml:space="preserve">FAUCET - 1508 </t>
  </si>
  <si>
    <t>GREY</t>
  </si>
  <si>
    <t>RED</t>
  </si>
  <si>
    <t xml:space="preserve">WHITE </t>
  </si>
  <si>
    <t>YELOW</t>
  </si>
  <si>
    <t>BLACK</t>
  </si>
  <si>
    <t>CHROME + CORNFLAKES</t>
  </si>
  <si>
    <t>CHROME+ NERA</t>
  </si>
  <si>
    <t>CHROME + NERA</t>
  </si>
  <si>
    <t xml:space="preserve">SOAP DISPENSER </t>
  </si>
  <si>
    <t>MIRROR</t>
  </si>
  <si>
    <t>CF</t>
  </si>
  <si>
    <t xml:space="preserve">CF </t>
  </si>
  <si>
    <t>BF</t>
  </si>
  <si>
    <t xml:space="preserve">CHIMNEY - SILENCIO </t>
  </si>
  <si>
    <t xml:space="preserve">CHIMNEY - ROME </t>
  </si>
  <si>
    <t>75 CM</t>
  </si>
  <si>
    <t xml:space="preserve">CHIMNEY - KIA FL </t>
  </si>
  <si>
    <t xml:space="preserve">CHIMNEY - VISTA </t>
  </si>
  <si>
    <t xml:space="preserve">CHIMNEY - VAN  MS </t>
  </si>
  <si>
    <t>CHIMNEY - BELLA</t>
  </si>
  <si>
    <t xml:space="preserve">CHIMNEY - SPARK </t>
  </si>
  <si>
    <t xml:space="preserve">CHIMNEY - TEKNO </t>
  </si>
  <si>
    <t xml:space="preserve">CHIMNEY - ROCKSTAR </t>
  </si>
  <si>
    <t xml:space="preserve">CHIMNEY - ENIGMA </t>
  </si>
  <si>
    <t>CHIMNEY - WINGS</t>
  </si>
  <si>
    <t xml:space="preserve">CHIMNEY - CRYSTAL </t>
  </si>
  <si>
    <t xml:space="preserve">70 CM </t>
  </si>
  <si>
    <t xml:space="preserve">BLACK </t>
  </si>
  <si>
    <t>CHIMNEY - ALICE 90</t>
  </si>
  <si>
    <t>SMART OVENS &amp; MICOWAVES - MWO - 3</t>
  </si>
  <si>
    <t>SMART OVENS &amp; MICOWAVES - BIO - 03</t>
  </si>
  <si>
    <t xml:space="preserve">SMART COOCKTOP - PVD 3BR </t>
  </si>
  <si>
    <t xml:space="preserve">SMART COOCKTOP - PVD 4BR </t>
  </si>
  <si>
    <t>SMART COOCKTOP - PIANO 3BR</t>
  </si>
  <si>
    <t xml:space="preserve">AUTO </t>
  </si>
  <si>
    <t>SMART DISH WASHERS - DW 01</t>
  </si>
  <si>
    <t>SMART DISH WASHERS - DW 02</t>
  </si>
  <si>
    <t>SMART DISH WASHERS - DW 03</t>
  </si>
  <si>
    <t>SMART DISH WASHERS - DW 04</t>
  </si>
  <si>
    <t>SMART HOBS - BRAVO 60-4</t>
  </si>
  <si>
    <t>SMART HOBS - BRAVO 60-3</t>
  </si>
  <si>
    <t>SMART HOBS - BRAVO 78-3</t>
  </si>
  <si>
    <t>SMART HOBS - BRAVO 78-4</t>
  </si>
  <si>
    <t>SMART HOBS - BRAVO 90-5</t>
  </si>
  <si>
    <t>SMART HOBS - PRO 60-3</t>
  </si>
  <si>
    <t>SMART HOBS - PRO 75-3</t>
  </si>
  <si>
    <t>SMART HOBS - PRO 60-4</t>
  </si>
  <si>
    <t>SMART HOBS - PRO 78-4</t>
  </si>
  <si>
    <t>SMART HOBS - SALSA 60-3</t>
  </si>
  <si>
    <t>SMART HOBS - SALSA 78-3</t>
  </si>
  <si>
    <t>SMART HOBS - SALSA 60-4</t>
  </si>
  <si>
    <t>SMART HOBS - SALSA 78-4</t>
  </si>
  <si>
    <t>COOCKTOP - FLAVIO 4BR</t>
  </si>
  <si>
    <t>COOCKTOP - FLAVIO 3BR</t>
  </si>
  <si>
    <t>HEAVY DUTY 3/4 HP</t>
  </si>
  <si>
    <t>MANUAL</t>
  </si>
  <si>
    <t>OPTIONALWITH AIR SWITCH</t>
  </si>
  <si>
    <t>HEAVY DUTY 1/2 HP</t>
  </si>
  <si>
    <t>STANDARD 3/4 HP</t>
  </si>
  <si>
    <t>STANDARD 1/2 HP</t>
  </si>
  <si>
    <t>HEAVY DUTY 1 HP</t>
  </si>
  <si>
    <t>HEAVY DUTY 1.25 HP</t>
  </si>
  <si>
    <t>OPTIONAL WITH AIR SWITCH</t>
  </si>
  <si>
    <t>F W D</t>
  </si>
  <si>
    <t>SS - QUADRO CLASSIC  18168 / SINGLE BOWL</t>
  </si>
  <si>
    <t>SS - QUADRO CLASSIC 20178 / SINGLE BOWL</t>
  </si>
  <si>
    <t>SS - QUADRO CLASSIC 21188 / SINGLE BOWL</t>
  </si>
  <si>
    <t>SS - QUADRO CLASSIC 24188 / SINGLE BOWL</t>
  </si>
  <si>
    <t>SS - QUADRO CLASSIC 24189 / SINGLE BOWL</t>
  </si>
  <si>
    <t>SS - QUADRO CLASSIC 36188 / SINGLE BOWL+DB</t>
  </si>
  <si>
    <t>SS - QUADRO CLASSIC 40208 / SINGLE BOWL+DB</t>
  </si>
  <si>
    <t>SS - QUADRO CLASSIC 45209 /  DOUBLE BOWL</t>
  </si>
  <si>
    <t>KITCHEN FAUCET</t>
  </si>
  <si>
    <t xml:space="preserve">SS - QUADRO MQ 34189 / DOUBLE BOWL </t>
  </si>
  <si>
    <t xml:space="preserve">SS - QUADRO MQ 40189 / DOUBLE BOWL </t>
  </si>
  <si>
    <t xml:space="preserve">SS - QUADRO MQ 45189 / DOUBLE BOWL </t>
  </si>
  <si>
    <t xml:space="preserve">SS - QUADRO MQ 36189 / DOUBLE BOWL </t>
  </si>
  <si>
    <t xml:space="preserve">SS - QUADRO MQ 40209 / DOUBLE BOWL </t>
  </si>
  <si>
    <t xml:space="preserve">SS - QUADRO MQ 45209 / DOUBLE BOWL </t>
  </si>
  <si>
    <t xml:space="preserve">SS - QUADRO MQ 36188 / DOUBLE BOWL </t>
  </si>
  <si>
    <t xml:space="preserve">2 NEW </t>
  </si>
  <si>
    <t>7 NEW</t>
  </si>
  <si>
    <t>3 NEW</t>
  </si>
  <si>
    <t>6 NEW</t>
  </si>
  <si>
    <t>1 NEW</t>
  </si>
  <si>
    <t>2 NEW</t>
  </si>
  <si>
    <t>SS - MONOPRESS / SINGLE BOWL +DB</t>
  </si>
  <si>
    <t>2NEW</t>
  </si>
  <si>
    <t>ENIGMA N 200  / DOUBLE  BOWL + ONE &amp; HALF BOWL</t>
  </si>
  <si>
    <t>ENIGMA D 100 L / SINGLE BOWL + DB</t>
  </si>
  <si>
    <t>POLO D 100 L / SINGLE BOWL + DB (WITHOUT S.B)</t>
  </si>
  <si>
    <t>POLO D 200 / DOUBLE BOWL + DB (WITH STEEL.B)</t>
  </si>
  <si>
    <t>JUMBO N 200  / DOUBLE BOWL</t>
  </si>
  <si>
    <t>NEW JUMBO N 100 Q820 / SINGLE BOWL</t>
  </si>
  <si>
    <t>LARGO 2420 SINGLE BOWL / WITH FAUCET AMAZE 03</t>
  </si>
  <si>
    <t>AZURE (STANDARD)</t>
  </si>
  <si>
    <t>SAGE (STANDARD)</t>
  </si>
  <si>
    <t>METTALICO</t>
  </si>
  <si>
    <t xml:space="preserve">JET BLACK  </t>
  </si>
  <si>
    <t xml:space="preserve">3 NEW </t>
  </si>
  <si>
    <t>SS - MICRO RADIUS R10 17178 / SINGLE BOWL WITH COLOUR</t>
  </si>
  <si>
    <t>SS - MICRO RADIUS R10 21188 / SINGLE BOWL WITH COLOUR</t>
  </si>
  <si>
    <t>SS - MICRO RADIUS R10 24188 / SINGLE BOWL WITH COLOUR</t>
  </si>
  <si>
    <t>SS - MICRO RADIUS R10 24189 / SINGLE BOWL WITH COLOUR</t>
  </si>
  <si>
    <t>24  X 18 X 9</t>
  </si>
  <si>
    <t>SS - MICRO RADIUS R10 31179 / SINGLE BOWL WITH COLOUR</t>
  </si>
  <si>
    <t>SS - MICRO RADIUS R10 34178 / SINGLE BOWL WITH COLOUR</t>
  </si>
  <si>
    <t>SS - WALTZ 550 R10 22208 / SINGLE BOWL - SEMI*LOADED</t>
  </si>
  <si>
    <t>SS - WALTZ 610 R10 24208 / SINGLE BOWL - SEMI*LOADED</t>
  </si>
  <si>
    <t>SS - WALTZ 750 R10 30208 / SINGLE BOWL - SEMI*LOADED</t>
  </si>
  <si>
    <t xml:space="preserve">30 X 20 X 8 </t>
  </si>
  <si>
    <t>SS - QUADRO SERIES 17178 / SINGLE BOWL</t>
  </si>
  <si>
    <t>SS - QUADRO SERIES 21178 / SINGLE BOWL</t>
  </si>
  <si>
    <t>SS - WALTZ MICRO RADIUS R10 40189 / DOUBLE BOWL</t>
  </si>
  <si>
    <t>40 X 18 X 9</t>
  </si>
  <si>
    <t>SS - WALTZ MICRO RADIUS R10 45189 / DOUBLE BOWL</t>
  </si>
  <si>
    <t>45 X 18 X 9</t>
  </si>
  <si>
    <t>SS - ELEGANCE SERIES 16167 / SINGLE BOWL</t>
  </si>
  <si>
    <t>16 X 16 X 7</t>
  </si>
  <si>
    <t>SS - ELEGANCE SERIES 34208 / DOUBLE BOWL</t>
  </si>
  <si>
    <t>SS - ELEGANCE SERIES 34209 / DOUBLE BOWL</t>
  </si>
  <si>
    <t>34 X 20 X 9</t>
  </si>
  <si>
    <t>SS - ELEGANCE SERIES 45208 / DOUBLE BOWL</t>
  </si>
  <si>
    <t>SS - ELEGANCE SERIES 45209 / DOUBLE BOWL</t>
  </si>
  <si>
    <t>SS - ELEGANCE SERIES 20178 / SINGLE BOWL</t>
  </si>
  <si>
    <t>WALTZ 610 - 2420 / SINGLE BOWL</t>
  </si>
  <si>
    <t>WALTZ 560 FE - 2220 / SINGLE BOWL</t>
  </si>
  <si>
    <t>WALTZ 780 - 3120 / SINGLE BOWL</t>
  </si>
  <si>
    <t>FAUCET - MAXIMUS PULL OUT - HOT &amp; COLD</t>
  </si>
  <si>
    <t>BLACK + BRUSHED GOLD</t>
  </si>
  <si>
    <t>FOREST GREEN  (PREMIUM)</t>
  </si>
  <si>
    <t>METALLICO  (PREMIUM)</t>
  </si>
  <si>
    <t>COPPER   (PREMIUM)</t>
  </si>
  <si>
    <t>CROMA  (PREMIUM)</t>
  </si>
  <si>
    <t>AZURE  (STANDARD)</t>
  </si>
  <si>
    <t>DEEP BLACK  (STANDARD)</t>
  </si>
  <si>
    <t>MUSHROOM  (STANDARD)</t>
  </si>
  <si>
    <t>SAGE  (STANDARD)</t>
  </si>
  <si>
    <t>COPPER (PREMIUM)</t>
  </si>
  <si>
    <t>CROMA (PREMIUM)</t>
  </si>
  <si>
    <t>METALLICO (PREMIUM)</t>
  </si>
  <si>
    <t>DEEP BLACK (PREMIUM)</t>
  </si>
  <si>
    <t>MUSHROOM (PREMIUM)</t>
  </si>
  <si>
    <t>FOREST GREEN (PREMIUM)</t>
  </si>
  <si>
    <t>COPPER  (PREMIUM)</t>
  </si>
  <si>
    <t>DEEP BLACK (STANDARD)</t>
  </si>
  <si>
    <t>AZURE  (PREMIUM)</t>
  </si>
  <si>
    <t>NEW BEETHOVEN D 200 / DOUBLE BOWL + DB</t>
  </si>
  <si>
    <t>CHIMNEY - KOLN</t>
  </si>
  <si>
    <t>AUTO</t>
  </si>
  <si>
    <t>COOCKTOP - G 3 NON AUTO COOCKTOP</t>
  </si>
  <si>
    <t>SMART HOBS - TECNO N 4G BR</t>
  </si>
  <si>
    <t xml:space="preserve">HOBS - SLIM G 4 NON AUTO </t>
  </si>
  <si>
    <t>HOBS - PASSILO 100-4</t>
  </si>
  <si>
    <t>HOBS - BRAZZO 78-3</t>
  </si>
  <si>
    <t>HOBS - BRAZZO 78-4</t>
  </si>
  <si>
    <t>HOBS - BRAZZO 60-4</t>
  </si>
  <si>
    <t>SATIN / CHROME</t>
  </si>
  <si>
    <t>VEG COLANDER 560</t>
  </si>
  <si>
    <t>VEG COLANDER 610</t>
  </si>
  <si>
    <t>VEG COLANDER 780</t>
  </si>
  <si>
    <t>VEG COLANDER HARMONY BIG B 2418</t>
  </si>
  <si>
    <t>FLEXIBLE BASKET - COMPANY</t>
  </si>
  <si>
    <t>FLEXIBLE BASKET - NATION WITHOUT COMPANY</t>
  </si>
  <si>
    <t xml:space="preserve">HOBS - SLIM G-4 NON AUTO </t>
  </si>
  <si>
    <t>BIG BOWL 2418 / SINGLE BOWL</t>
  </si>
  <si>
    <t>SALSA 2118 / SINGLE BOWL</t>
  </si>
  <si>
    <t>CIGAR HUMIDOR - CIGAR 212</t>
  </si>
  <si>
    <t>BUILT - IN BARBEQUE</t>
  </si>
  <si>
    <t>BUILT - IN FRYER</t>
  </si>
  <si>
    <t xml:space="preserve">REFRIGERATORS - SLOT - IN FREE STANDING </t>
  </si>
  <si>
    <t>REFRIGERATORS - BIF 03 BUILT IN</t>
  </si>
  <si>
    <t>REFRIGERATORS - BIF 02 BUILT IN</t>
  </si>
  <si>
    <t>DISH WASHERS - DW 04</t>
  </si>
  <si>
    <t>INDUCTION - FSCR 01</t>
  </si>
  <si>
    <t>INDUCTION - FSCR 04</t>
  </si>
  <si>
    <t>HOBS - CX 60 - 4</t>
  </si>
  <si>
    <t>HOBS - CX 90 - 5</t>
  </si>
  <si>
    <t>HOBS - TRIZONE</t>
  </si>
  <si>
    <t>HOBS - BRAVO 60-3</t>
  </si>
  <si>
    <t>HOBS - BRAVO 60-4</t>
  </si>
  <si>
    <t>HOBS - BRAVO 78-3</t>
  </si>
  <si>
    <t>HOBS - BRAVO 78-4</t>
  </si>
  <si>
    <t>HOBS - BRAVO 90-5</t>
  </si>
  <si>
    <t>HOBS - PRO 60-3</t>
  </si>
  <si>
    <t>HOBS - PRO 75-3</t>
  </si>
  <si>
    <t>HOBS - PRO 60-4</t>
  </si>
  <si>
    <t>HOBS - PRO 78-4</t>
  </si>
  <si>
    <t>HOBS - TEK PLUS 75 - 3</t>
  </si>
  <si>
    <t>HOBS - TEK PLUS 60 - 4</t>
  </si>
  <si>
    <t>HOBS - TEK PLUS 90 - 4</t>
  </si>
  <si>
    <t>HOBS - TEK PLUS 90 - 5</t>
  </si>
  <si>
    <t>HOBS - KOLN INDUCTION + HOOD</t>
  </si>
  <si>
    <t xml:space="preserve">COOCKTOP - PVD 3BR </t>
  </si>
  <si>
    <t xml:space="preserve">COOCKTOP - PVD 4BR </t>
  </si>
  <si>
    <t>HOBS - BIH - 01  BUILT IN INDUCTION HOB</t>
  </si>
  <si>
    <t>HOBS - BIH - 02  BUILT IN INDUCTION HOB</t>
  </si>
  <si>
    <t xml:space="preserve">HOBS - OLIVE 3 </t>
  </si>
  <si>
    <t>HOBS - OLIVE  4</t>
  </si>
  <si>
    <t xml:space="preserve">HOBS - HORNET 3 </t>
  </si>
  <si>
    <t xml:space="preserve">HOBS - HORNET 4 </t>
  </si>
  <si>
    <t>HOBS - SALSA 60-3</t>
  </si>
  <si>
    <t>HOBS - SALSA 78-3</t>
  </si>
  <si>
    <t>HOBS - SALSA 60-4</t>
  </si>
  <si>
    <t>HOBS - SALSA 78-4</t>
  </si>
  <si>
    <t>HOBS - TECNO N-4G BR</t>
  </si>
  <si>
    <t>COOCKTOP - PIANO 3BR</t>
  </si>
  <si>
    <t>DISH WASHERS - DW 01</t>
  </si>
  <si>
    <t>DISH WASHERS - DW 02</t>
  </si>
  <si>
    <t>DISH WASHERS - DW 03</t>
  </si>
  <si>
    <t>46 BOTTLE</t>
  </si>
  <si>
    <t>CORNFLAKESS</t>
  </si>
  <si>
    <t>FWD - HEAVY DUTY 3/4 HP</t>
  </si>
  <si>
    <t>FWD - HEAVY DUTY 1/2 HP</t>
  </si>
  <si>
    <t>FWD - STANDARD 3/4 HP</t>
  </si>
  <si>
    <t>FWD - STANDARD 1/2 HP</t>
  </si>
  <si>
    <t>FWD - HEAVY DUTY 1 HP</t>
  </si>
  <si>
    <t>FWD - HEAVY DUTY 1.25 HP</t>
  </si>
  <si>
    <t>SATIN /CHROME</t>
  </si>
  <si>
    <t xml:space="preserve">VEG COLANDER </t>
  </si>
  <si>
    <t xml:space="preserve">24  X 18 </t>
  </si>
  <si>
    <t xml:space="preserve">HARMONY BIG B - VEG COLANDER </t>
  </si>
  <si>
    <t xml:space="preserve">FOLD MATT </t>
  </si>
  <si>
    <t xml:space="preserve">SEMI LOADED ACCESSORIES </t>
  </si>
  <si>
    <t>FLOOR GRID</t>
  </si>
  <si>
    <t xml:space="preserve">FLEXIBLE BASKET </t>
  </si>
  <si>
    <t>FLOOR GRID STEEL</t>
  </si>
  <si>
    <t xml:space="preserve">WOODEN CHOPPING BOARD </t>
  </si>
  <si>
    <t>FLEXIBLE BASKET ( COMPANY )</t>
  </si>
  <si>
    <t>FLEXIBLE BASKET - NATION (WITHOUT COMPANY)</t>
  </si>
  <si>
    <t>FULLY LOADED ACCESSORIES</t>
  </si>
  <si>
    <t>MATT BLACK</t>
  </si>
  <si>
    <t xml:space="preserve">PLUMBING KIT </t>
  </si>
  <si>
    <t>SS - WALTZ 610 R10 24208 / SB - FULLY*LOADED</t>
  </si>
  <si>
    <t>SS - WALTZ 750 R10 30208 / SB - FULLY*LOADED</t>
  </si>
  <si>
    <t>1 MM ( WITH FAUCET DECK LH )</t>
  </si>
  <si>
    <t>SS - MICRO RADIUS R10 40189 / DOUBLE BOWL</t>
  </si>
  <si>
    <t>SS - MICRO RADIUS R10 45189 / DOUBLE BOWL</t>
  </si>
  <si>
    <t>SS - MICRO RADIUS R10 45209 / DOUBLE BOWL</t>
  </si>
  <si>
    <t xml:space="preserve">CHIMNEY - SLIM I-DRIVE </t>
  </si>
  <si>
    <t>HOBS - PASSILO 78-4</t>
  </si>
  <si>
    <t>HOBS - PASSILO 90-5</t>
  </si>
  <si>
    <t>HOBS - PASSILO 78-3</t>
  </si>
  <si>
    <t>HOBS - PASSILO 60-4</t>
  </si>
  <si>
    <t xml:space="preserve">COOCKTOP - G 3 </t>
  </si>
  <si>
    <t xml:space="preserve">NON AUTO </t>
  </si>
  <si>
    <t>18 BOTTLE</t>
  </si>
  <si>
    <t xml:space="preserve">WINE CHILLER - CW 54 </t>
  </si>
  <si>
    <t xml:space="preserve">54 BOTTLE </t>
  </si>
  <si>
    <t>WINE CHILLER + SOFT DRINK CAN</t>
  </si>
  <si>
    <t>MATTE</t>
  </si>
  <si>
    <t>NERA / MATT BLACK</t>
  </si>
  <si>
    <t>BLACK + BRUSHED ROSE GOLD</t>
  </si>
  <si>
    <t>BRUSH GOLD + GUN METAL</t>
  </si>
  <si>
    <t>D . P Price</t>
  </si>
  <si>
    <t>24 BOTTLE</t>
  </si>
  <si>
    <t>77 BOTTLE</t>
  </si>
  <si>
    <t>38 BOTTLE</t>
  </si>
  <si>
    <t>120 BOTTLE</t>
  </si>
  <si>
    <t>165 BOTTLE</t>
  </si>
  <si>
    <t>40 BOTTLE</t>
  </si>
  <si>
    <t>212 CIGAR</t>
  </si>
  <si>
    <t>WALL MOUNTED</t>
  </si>
  <si>
    <t>HOT &amp; COLD</t>
  </si>
  <si>
    <t xml:space="preserve">FAUCET - ALA 2203 </t>
  </si>
  <si>
    <t>HOT &amp; COLD TAP</t>
  </si>
  <si>
    <t xml:space="preserve">FAUCET - ALA 2301 </t>
  </si>
  <si>
    <t xml:space="preserve">FAUCET - ALA 2401 </t>
  </si>
  <si>
    <t xml:space="preserve">FAUCET - MX 05 </t>
  </si>
  <si>
    <t xml:space="preserve">FAUCET - ALA 1512 </t>
  </si>
  <si>
    <t xml:space="preserve">FAUCET - ASL 2202 </t>
  </si>
  <si>
    <t xml:space="preserve">FAUCET - ALA 1513 </t>
  </si>
  <si>
    <t xml:space="preserve">FAUCET - ALA 1514 </t>
  </si>
  <si>
    <t xml:space="preserve">FAUCET - MAXIMUS </t>
  </si>
  <si>
    <t xml:space="preserve">FAUCET - MAXIMUS MX 35 </t>
  </si>
  <si>
    <t xml:space="preserve">FAUCET - MAXIMUS MX </t>
  </si>
  <si>
    <t xml:space="preserve">WALL MOUNT </t>
  </si>
  <si>
    <t xml:space="preserve">FAUCET - ASL 2201 </t>
  </si>
  <si>
    <t xml:space="preserve">FAUCET - ALA 1504 </t>
  </si>
  <si>
    <t xml:space="preserve">FAUCET - QUBIX 01  </t>
  </si>
  <si>
    <t xml:space="preserve">FAUCET - QUBIX 02  </t>
  </si>
  <si>
    <t xml:space="preserve">FAUCET - QUBIX 03  </t>
  </si>
  <si>
    <t xml:space="preserve">FAUCET - WMF 01  </t>
  </si>
  <si>
    <t xml:space="preserve">FAUCET - WMF 02  </t>
  </si>
  <si>
    <t xml:space="preserve">FAUCET - WMF 03  </t>
  </si>
  <si>
    <t xml:space="preserve">FAUCET - VINTAGE FARMHOUSE 03 </t>
  </si>
  <si>
    <t xml:space="preserve">FAUCET - CLASSIC WMF 04 </t>
  </si>
  <si>
    <t>WATER DISPENSER</t>
  </si>
  <si>
    <t xml:space="preserve">FAUCET - ALA 1510  </t>
  </si>
  <si>
    <t>OVENS - BIO - 01</t>
  </si>
  <si>
    <t>OVENS - BIO - 02</t>
  </si>
  <si>
    <t>OVENS - BIO - 03</t>
  </si>
  <si>
    <t>OVENS - BIO - 05</t>
  </si>
  <si>
    <t>OVENS - BIO - 06</t>
  </si>
  <si>
    <t>OVENS - BIO - 07</t>
  </si>
  <si>
    <t>65 LTR</t>
  </si>
  <si>
    <t>75 LTR</t>
  </si>
  <si>
    <t>81 LTR</t>
  </si>
  <si>
    <t>MICOWAVES - MWO - 1</t>
  </si>
  <si>
    <t>MICOWAVES - MWO - 2</t>
  </si>
  <si>
    <t>MICOWAVES - MWO - 3</t>
  </si>
  <si>
    <t>25 LTR</t>
  </si>
  <si>
    <t>4  BURNER</t>
  </si>
  <si>
    <t>WINE CHILLERS - CW 165</t>
  </si>
  <si>
    <t>WINE CHILLERS - CW 40 - RETRO</t>
  </si>
  <si>
    <t>WINE CHILLERS - CW 46</t>
  </si>
  <si>
    <t>WINE CHILLERS - CW 77</t>
  </si>
  <si>
    <t>WINE CHILLERS - CW 18 BUILT IN CHILLER</t>
  </si>
  <si>
    <t>WINE CHILLERS - CW 24</t>
  </si>
  <si>
    <t>WINE CHILLERS - CW 38</t>
  </si>
  <si>
    <t>WINE CHILLERS - CW 120</t>
  </si>
  <si>
    <t>COFFEE MAKER 02</t>
  </si>
  <si>
    <t>COFFEE MAKER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</si>
</sst>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_ [$₹-4009]\ * #,##0.00_ ;_ [$₹-4009]\ * \-#,##0.00_ ;_ [$₹-4009]\ * &quot;-&quot;??_ ;_ @_ 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1"/>
      <color theme="0"/>
      <name val="Arial"/>
      <family val="2"/>
    </font>
    <font>
      <b/>
      <sz val="11"/>
      <color theme="1"/>
      <name val="Calibri Light"/>
      <family val="2"/>
      <scheme val="maj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 Light"/>
      <family val="2"/>
      <scheme val="major"/>
    </font>
    <font>
      <b/>
      <sz val="12"/>
      <color rgb="FF000066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 Black"/>
      <family val="2"/>
    </font>
    <font>
      <b/>
      <sz val="14"/>
      <color theme="0"/>
      <name val="Arial Black"/>
      <family val="2"/>
    </font>
    <font>
      <b/>
      <sz val="11"/>
      <color theme="0"/>
      <name val="Arial Black"/>
      <family val="2"/>
    </font>
    <font>
      <b/>
      <sz val="16"/>
      <color theme="1"/>
      <name val="Arial Black"/>
      <family val="2"/>
    </font>
    <font>
      <b/>
      <sz val="12"/>
      <color theme="0"/>
      <name val="Arial"/>
      <family val="2"/>
    </font>
    <font>
      <b/>
      <sz val="11"/>
      <color theme="1"/>
      <name val="Aptos Display"/>
      <family val="2"/>
    </font>
    <font>
      <b/>
      <sz val="16"/>
      <color theme="1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9" fontId="3" fillId="0" borderId="0"/>
  </cellStyleXfs>
  <cellXfs count="243">
    <xf numFmtId="0" fontId="0" fillId="0" borderId="0" xfId="0"/>
    <xf numFmtId="0" fontId="2" fillId="0" borderId="0" xfId="0" applyFont="1"/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5" fillId="2" borderId="0" xfId="0" applyFont="1" applyFill="1"/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/>
    <xf numFmtId="165" fontId="2" fillId="0" borderId="10" xfId="0" applyNumberFormat="1" applyFont="1" applyBorder="1"/>
    <xf numFmtId="164" fontId="2" fillId="0" borderId="0" xfId="0" applyNumberFormat="1" applyFont="1" applyAlignment="1">
      <alignment horizontal="center" vertical="center"/>
    </xf>
    <xf numFmtId="165" fontId="2" fillId="0" borderId="1" xfId="1" applyNumberFormat="1" applyFont="1" applyBorder="1"/>
    <xf numFmtId="165" fontId="2" fillId="0" borderId="0" xfId="0" applyNumberFormat="1" applyFont="1"/>
    <xf numFmtId="165" fontId="2" fillId="0" borderId="11" xfId="0" applyNumberFormat="1" applyFont="1" applyBorder="1"/>
    <xf numFmtId="0" fontId="2" fillId="0" borderId="3" xfId="0" applyFont="1" applyBorder="1" applyAlignment="1">
      <alignment horizontal="center" vertical="center"/>
    </xf>
    <xf numFmtId="165" fontId="2" fillId="0" borderId="3" xfId="0" applyNumberFormat="1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 applyAlignment="1">
      <alignment horizontal="center" vertical="center"/>
    </xf>
    <xf numFmtId="165" fontId="2" fillId="0" borderId="7" xfId="0" applyNumberFormat="1" applyFont="1" applyBorder="1"/>
    <xf numFmtId="0" fontId="5" fillId="2" borderId="9" xfId="0" applyFont="1" applyFill="1" applyBorder="1"/>
    <xf numFmtId="164" fontId="4" fillId="2" borderId="15" xfId="0" applyNumberFormat="1" applyFont="1" applyFill="1" applyBorder="1" applyAlignment="1">
      <alignment horizontal="center" vertical="center"/>
    </xf>
    <xf numFmtId="165" fontId="2" fillId="0" borderId="3" xfId="1" applyNumberFormat="1" applyFont="1" applyBorder="1"/>
    <xf numFmtId="9" fontId="2" fillId="0" borderId="12" xfId="1" applyFont="1" applyBorder="1"/>
    <xf numFmtId="9" fontId="2" fillId="0" borderId="0" xfId="1" applyFont="1" applyBorder="1" applyAlignment="1">
      <alignment horizontal="center" vertical="center"/>
    </xf>
    <xf numFmtId="9" fontId="2" fillId="0" borderId="13" xfId="1" applyFont="1" applyBorder="1"/>
    <xf numFmtId="9" fontId="2" fillId="0" borderId="14" xfId="1" applyFont="1" applyBorder="1" applyAlignment="1">
      <alignment horizontal="center" vertical="center"/>
    </xf>
    <xf numFmtId="165" fontId="2" fillId="0" borderId="7" xfId="1" applyNumberFormat="1" applyFont="1" applyBorder="1"/>
    <xf numFmtId="0" fontId="2" fillId="0" borderId="19" xfId="0" applyFont="1" applyBorder="1"/>
    <xf numFmtId="0" fontId="2" fillId="0" borderId="16" xfId="0" applyFont="1" applyBorder="1" applyAlignment="1">
      <alignment horizontal="center" vertical="center"/>
    </xf>
    <xf numFmtId="165" fontId="2" fillId="0" borderId="16" xfId="0" applyNumberFormat="1" applyFont="1" applyBorder="1"/>
    <xf numFmtId="164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7" fillId="0" borderId="0" xfId="0" applyFont="1"/>
    <xf numFmtId="0" fontId="8" fillId="0" borderId="0" xfId="0" applyFont="1"/>
    <xf numFmtId="0" fontId="2" fillId="0" borderId="21" xfId="0" applyFont="1" applyBorder="1"/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wrapText="1"/>
    </xf>
    <xf numFmtId="0" fontId="2" fillId="0" borderId="15" xfId="0" applyFont="1" applyBorder="1"/>
    <xf numFmtId="0" fontId="2" fillId="0" borderId="23" xfId="0" applyFont="1" applyBorder="1" applyAlignment="1">
      <alignment horizontal="center" vertical="center"/>
    </xf>
    <xf numFmtId="165" fontId="2" fillId="0" borderId="18" xfId="0" applyNumberFormat="1" applyFont="1" applyBorder="1"/>
    <xf numFmtId="0" fontId="2" fillId="0" borderId="15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vertical="center"/>
    </xf>
    <xf numFmtId="0" fontId="9" fillId="0" borderId="23" xfId="0" applyFont="1" applyBorder="1" applyAlignment="1">
      <alignment horizontal="center" vertical="center"/>
    </xf>
    <xf numFmtId="164" fontId="10" fillId="0" borderId="10" xfId="0" applyNumberFormat="1" applyFont="1" applyBorder="1" applyAlignment="1">
      <alignment vertical="center"/>
    </xf>
    <xf numFmtId="0" fontId="6" fillId="0" borderId="3" xfId="0" applyFont="1" applyBorder="1"/>
    <xf numFmtId="0" fontId="6" fillId="0" borderId="7" xfId="0" applyFont="1" applyBorder="1"/>
    <xf numFmtId="0" fontId="6" fillId="0" borderId="0" xfId="0" applyFont="1"/>
    <xf numFmtId="0" fontId="2" fillId="0" borderId="29" xfId="0" applyFont="1" applyBorder="1"/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9" fontId="2" fillId="0" borderId="0" xfId="1" applyFont="1" applyBorder="1"/>
    <xf numFmtId="165" fontId="2" fillId="0" borderId="0" xfId="1" applyNumberFormat="1" applyFont="1" applyBorder="1"/>
    <xf numFmtId="165" fontId="2" fillId="0" borderId="35" xfId="0" applyNumberFormat="1" applyFont="1" applyBorder="1"/>
    <xf numFmtId="165" fontId="2" fillId="0" borderId="30" xfId="0" applyNumberFormat="1" applyFont="1" applyBorder="1"/>
    <xf numFmtId="9" fontId="2" fillId="0" borderId="3" xfId="1" applyFont="1" applyBorder="1" applyAlignment="1">
      <alignment horizontal="center" vertical="center"/>
    </xf>
    <xf numFmtId="9" fontId="2" fillId="0" borderId="7" xfId="1" applyFont="1" applyBorder="1" applyAlignment="1">
      <alignment horizontal="center" vertical="center"/>
    </xf>
    <xf numFmtId="9" fontId="2" fillId="0" borderId="9" xfId="1" applyFont="1" applyBorder="1" applyAlignment="1">
      <alignment horizontal="center" vertical="center"/>
    </xf>
    <xf numFmtId="9" fontId="2" fillId="0" borderId="29" xfId="1" applyFont="1" applyBorder="1"/>
    <xf numFmtId="9" fontId="2" fillId="0" borderId="34" xfId="1" applyFont="1" applyBorder="1"/>
    <xf numFmtId="0" fontId="2" fillId="0" borderId="2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8" fillId="0" borderId="12" xfId="0" applyFont="1" applyBorder="1"/>
    <xf numFmtId="0" fontId="8" fillId="0" borderId="37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38" xfId="0" applyFont="1" applyBorder="1"/>
    <xf numFmtId="0" fontId="8" fillId="0" borderId="15" xfId="0" applyFont="1" applyBorder="1"/>
    <xf numFmtId="0" fontId="8" fillId="0" borderId="23" xfId="0" applyFont="1" applyBorder="1" applyAlignment="1">
      <alignment horizontal="center" vertical="center"/>
    </xf>
    <xf numFmtId="0" fontId="8" fillId="0" borderId="23" xfId="0" applyFont="1" applyBorder="1"/>
    <xf numFmtId="0" fontId="8" fillId="4" borderId="23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/>
    <xf numFmtId="0" fontId="6" fillId="0" borderId="10" xfId="0" applyFont="1" applyBorder="1"/>
    <xf numFmtId="9" fontId="6" fillId="0" borderId="0" xfId="1" applyFont="1" applyBorder="1"/>
    <xf numFmtId="9" fontId="6" fillId="0" borderId="3" xfId="1" applyFont="1" applyBorder="1"/>
    <xf numFmtId="9" fontId="6" fillId="0" borderId="1" xfId="1" applyFont="1" applyBorder="1"/>
    <xf numFmtId="9" fontId="6" fillId="0" borderId="7" xfId="1" applyFont="1" applyBorder="1"/>
    <xf numFmtId="0" fontId="6" fillId="0" borderId="11" xfId="0" applyFont="1" applyBorder="1"/>
    <xf numFmtId="0" fontId="6" fillId="0" borderId="16" xfId="0" applyFont="1" applyBorder="1"/>
    <xf numFmtId="0" fontId="6" fillId="0" borderId="31" xfId="0" applyFont="1" applyBorder="1"/>
    <xf numFmtId="0" fontId="6" fillId="0" borderId="9" xfId="0" applyFont="1" applyBorder="1"/>
    <xf numFmtId="0" fontId="6" fillId="0" borderId="28" xfId="0" applyFont="1" applyBorder="1"/>
    <xf numFmtId="0" fontId="6" fillId="0" borderId="25" xfId="0" applyFont="1" applyBorder="1"/>
    <xf numFmtId="0" fontId="6" fillId="0" borderId="27" xfId="0" applyFont="1" applyBorder="1"/>
    <xf numFmtId="0" fontId="6" fillId="0" borderId="26" xfId="0" applyFont="1" applyBorder="1"/>
    <xf numFmtId="0" fontId="6" fillId="0" borderId="24" xfId="0" applyFont="1" applyBorder="1"/>
    <xf numFmtId="0" fontId="6" fillId="0" borderId="33" xfId="0" applyFont="1" applyBorder="1"/>
    <xf numFmtId="0" fontId="10" fillId="0" borderId="0" xfId="0" applyFont="1"/>
    <xf numFmtId="0" fontId="2" fillId="0" borderId="22" xfId="0" applyFont="1" applyBorder="1" applyAlignment="1">
      <alignment horizontal="center"/>
    </xf>
    <xf numFmtId="0" fontId="6" fillId="0" borderId="32" xfId="0" applyFont="1" applyBorder="1"/>
    <xf numFmtId="0" fontId="2" fillId="0" borderId="3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3" fillId="0" borderId="0" xfId="0" applyFont="1"/>
    <xf numFmtId="0" fontId="2" fillId="0" borderId="43" xfId="0" applyFont="1" applyBorder="1" applyAlignment="1">
      <alignment horizontal="center" vertical="center"/>
    </xf>
    <xf numFmtId="0" fontId="4" fillId="2" borderId="29" xfId="0" applyFont="1" applyFill="1" applyBorder="1" applyAlignment="1">
      <alignment horizontal="center"/>
    </xf>
    <xf numFmtId="0" fontId="6" fillId="0" borderId="30" xfId="0" applyFont="1" applyBorder="1"/>
    <xf numFmtId="0" fontId="4" fillId="2" borderId="45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/>
    </xf>
    <xf numFmtId="165" fontId="4" fillId="2" borderId="30" xfId="0" applyNumberFormat="1" applyFont="1" applyFill="1" applyBorder="1" applyAlignment="1">
      <alignment horizontal="center"/>
    </xf>
    <xf numFmtId="0" fontId="15" fillId="2" borderId="44" xfId="0" applyFont="1" applyFill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20" xfId="0" applyFont="1" applyBorder="1"/>
    <xf numFmtId="0" fontId="13" fillId="0" borderId="3" xfId="0" applyFont="1" applyBorder="1"/>
    <xf numFmtId="0" fontId="13" fillId="0" borderId="1" xfId="0" applyFont="1" applyBorder="1"/>
    <xf numFmtId="0" fontId="13" fillId="0" borderId="7" xfId="0" applyFont="1" applyBorder="1"/>
    <xf numFmtId="0" fontId="13" fillId="0" borderId="18" xfId="0" applyFont="1" applyBorder="1"/>
    <xf numFmtId="0" fontId="13" fillId="0" borderId="36" xfId="0" applyFont="1" applyBorder="1"/>
    <xf numFmtId="0" fontId="13" fillId="0" borderId="11" xfId="0" applyFont="1" applyBorder="1"/>
    <xf numFmtId="164" fontId="16" fillId="0" borderId="10" xfId="0" applyNumberFormat="1" applyFont="1" applyBorder="1" applyAlignment="1">
      <alignment vertical="center"/>
    </xf>
    <xf numFmtId="0" fontId="16" fillId="0" borderId="0" xfId="0" applyFont="1"/>
    <xf numFmtId="0" fontId="13" fillId="0" borderId="44" xfId="0" applyFont="1" applyBorder="1"/>
    <xf numFmtId="0" fontId="14" fillId="2" borderId="39" xfId="0" applyFont="1" applyFill="1" applyBorder="1" applyAlignment="1">
      <alignment horizontal="center"/>
    </xf>
    <xf numFmtId="0" fontId="13" fillId="0" borderId="10" xfId="0" applyFont="1" applyBorder="1"/>
    <xf numFmtId="0" fontId="13" fillId="0" borderId="16" xfId="0" applyFont="1" applyBorder="1"/>
    <xf numFmtId="0" fontId="13" fillId="0" borderId="17" xfId="0" applyFont="1" applyBorder="1"/>
    <xf numFmtId="0" fontId="13" fillId="0" borderId="30" xfId="0" applyFont="1" applyBorder="1"/>
    <xf numFmtId="0" fontId="2" fillId="0" borderId="23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9" fontId="2" fillId="0" borderId="43" xfId="1" applyFont="1" applyBorder="1" applyAlignment="1">
      <alignment horizontal="center" vertical="center"/>
    </xf>
    <xf numFmtId="9" fontId="2" fillId="0" borderId="21" xfId="1" applyFont="1" applyBorder="1"/>
    <xf numFmtId="0" fontId="2" fillId="0" borderId="3" xfId="0" applyFont="1" applyBorder="1"/>
    <xf numFmtId="0" fontId="2" fillId="0" borderId="31" xfId="0" applyFont="1" applyBorder="1"/>
    <xf numFmtId="0" fontId="2" fillId="0" borderId="28" xfId="0" applyFont="1" applyBorder="1"/>
    <xf numFmtId="0" fontId="2" fillId="0" borderId="16" xfId="0" applyFont="1" applyBorder="1"/>
    <xf numFmtId="165" fontId="2" fillId="0" borderId="23" xfId="0" applyNumberFormat="1" applyFont="1" applyBorder="1"/>
    <xf numFmtId="0" fontId="13" fillId="0" borderId="42" xfId="0" applyFont="1" applyBorder="1"/>
    <xf numFmtId="0" fontId="6" fillId="0" borderId="35" xfId="0" applyFont="1" applyBorder="1"/>
    <xf numFmtId="0" fontId="13" fillId="0" borderId="35" xfId="0" applyFont="1" applyBorder="1"/>
    <xf numFmtId="0" fontId="2" fillId="0" borderId="19" xfId="0" applyFont="1" applyBorder="1" applyAlignment="1">
      <alignment wrapText="1"/>
    </xf>
    <xf numFmtId="0" fontId="2" fillId="0" borderId="2" xfId="0" applyFont="1" applyBorder="1"/>
    <xf numFmtId="0" fontId="2" fillId="0" borderId="46" xfId="0" applyFont="1" applyBorder="1"/>
    <xf numFmtId="0" fontId="2" fillId="0" borderId="6" xfId="0" applyFont="1" applyBorder="1"/>
    <xf numFmtId="164" fontId="17" fillId="2" borderId="15" xfId="0" applyNumberFormat="1" applyFont="1" applyFill="1" applyBorder="1" applyAlignment="1">
      <alignment horizontal="center" vertical="center"/>
    </xf>
    <xf numFmtId="165" fontId="17" fillId="2" borderId="30" xfId="0" applyNumberFormat="1" applyFont="1" applyFill="1" applyBorder="1" applyAlignment="1">
      <alignment horizontal="center"/>
    </xf>
    <xf numFmtId="0" fontId="17" fillId="2" borderId="39" xfId="0" applyFont="1" applyFill="1" applyBorder="1" applyAlignment="1">
      <alignment horizontal="center"/>
    </xf>
    <xf numFmtId="165" fontId="2" fillId="0" borderId="3" xfId="2" applyNumberFormat="1" applyFont="1" applyBorder="1"/>
    <xf numFmtId="165" fontId="2" fillId="0" borderId="1" xfId="2" applyNumberFormat="1" applyFont="1" applyBorder="1"/>
    <xf numFmtId="165" fontId="2" fillId="0" borderId="7" xfId="2" applyNumberFormat="1" applyFont="1" applyBorder="1"/>
    <xf numFmtId="165" fontId="2" fillId="0" borderId="0" xfId="2" applyNumberFormat="1" applyFont="1"/>
    <xf numFmtId="164" fontId="2" fillId="0" borderId="0" xfId="0" applyNumberFormat="1" applyFont="1" applyAlignment="1">
      <alignment horizontal="center" vertical="center" wrapText="1"/>
    </xf>
    <xf numFmtId="165" fontId="2" fillId="0" borderId="16" xfId="0" applyNumberFormat="1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0" fillId="0" borderId="0" xfId="0" applyAlignment="1">
      <alignment wrapText="1"/>
    </xf>
    <xf numFmtId="165" fontId="2" fillId="0" borderId="3" xfId="0" applyNumberFormat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164" fontId="16" fillId="0" borderId="0" xfId="0" applyNumberFormat="1" applyFont="1" applyAlignment="1">
      <alignment vertical="center"/>
    </xf>
    <xf numFmtId="0" fontId="18" fillId="0" borderId="3" xfId="0" applyFont="1" applyBorder="1"/>
    <xf numFmtId="0" fontId="18" fillId="0" borderId="1" xfId="0" applyFont="1" applyBorder="1"/>
    <xf numFmtId="0" fontId="18" fillId="0" borderId="7" xfId="0" applyFont="1" applyBorder="1"/>
    <xf numFmtId="0" fontId="18" fillId="0" borderId="0" xfId="0" applyFont="1"/>
    <xf numFmtId="0" fontId="18" fillId="0" borderId="10" xfId="0" applyFont="1" applyBorder="1"/>
    <xf numFmtId="9" fontId="18" fillId="0" borderId="0" xfId="2" applyFont="1"/>
    <xf numFmtId="9" fontId="18" fillId="0" borderId="3" xfId="2" applyFont="1" applyBorder="1"/>
    <xf numFmtId="9" fontId="18" fillId="0" borderId="1" xfId="2" applyFont="1" applyBorder="1"/>
    <xf numFmtId="9" fontId="18" fillId="0" borderId="7" xfId="2" applyFont="1" applyBorder="1"/>
    <xf numFmtId="0" fontId="18" fillId="0" borderId="11" xfId="0" applyFont="1" applyBorder="1"/>
    <xf numFmtId="0" fontId="18" fillId="0" borderId="28" xfId="0" applyFont="1" applyBorder="1"/>
    <xf numFmtId="0" fontId="18" fillId="0" borderId="16" xfId="0" applyFont="1" applyBorder="1"/>
    <xf numFmtId="0" fontId="18" fillId="0" borderId="31" xfId="0" applyFont="1" applyBorder="1"/>
    <xf numFmtId="0" fontId="18" fillId="0" borderId="9" xfId="0" applyFont="1" applyBorder="1"/>
    <xf numFmtId="0" fontId="18" fillId="0" borderId="25" xfId="0" applyFont="1" applyBorder="1"/>
    <xf numFmtId="0" fontId="18" fillId="0" borderId="16" xfId="0" applyFont="1" applyBorder="1" applyAlignment="1">
      <alignment wrapText="1"/>
    </xf>
    <xf numFmtId="0" fontId="18" fillId="0" borderId="26" xfId="0" applyFont="1" applyBorder="1"/>
    <xf numFmtId="0" fontId="18" fillId="0" borderId="24" xfId="0" applyFont="1" applyBorder="1"/>
    <xf numFmtId="0" fontId="18" fillId="0" borderId="33" xfId="0" applyFont="1" applyBorder="1"/>
    <xf numFmtId="0" fontId="18" fillId="0" borderId="27" xfId="0" applyFont="1" applyBorder="1"/>
    <xf numFmtId="0" fontId="18" fillId="0" borderId="32" xfId="0" applyFont="1" applyBorder="1"/>
    <xf numFmtId="0" fontId="18" fillId="0" borderId="3" xfId="0" applyFont="1" applyBorder="1" applyAlignment="1">
      <alignment wrapText="1"/>
    </xf>
    <xf numFmtId="0" fontId="18" fillId="0" borderId="35" xfId="0" applyFont="1" applyBorder="1"/>
    <xf numFmtId="164" fontId="19" fillId="0" borderId="0" xfId="0" applyNumberFormat="1" applyFont="1" applyAlignment="1">
      <alignment vertical="center"/>
    </xf>
    <xf numFmtId="0" fontId="18" fillId="0" borderId="30" xfId="0" applyFont="1" applyBorder="1"/>
    <xf numFmtId="0" fontId="18" fillId="0" borderId="21" xfId="0" applyFont="1" applyBorder="1"/>
    <xf numFmtId="0" fontId="18" fillId="0" borderId="12" xfId="0" applyFont="1" applyBorder="1"/>
    <xf numFmtId="0" fontId="18" fillId="0" borderId="13" xfId="0" applyFont="1" applyBorder="1"/>
    <xf numFmtId="9" fontId="18" fillId="0" borderId="21" xfId="2" applyFont="1" applyBorder="1"/>
    <xf numFmtId="9" fontId="18" fillId="0" borderId="12" xfId="2" applyFont="1" applyBorder="1"/>
    <xf numFmtId="9" fontId="18" fillId="0" borderId="13" xfId="2" applyFont="1" applyBorder="1"/>
    <xf numFmtId="9" fontId="18" fillId="0" borderId="29" xfId="2" applyFont="1" applyBorder="1"/>
    <xf numFmtId="9" fontId="18" fillId="0" borderId="34" xfId="2" applyFont="1" applyBorder="1"/>
    <xf numFmtId="0" fontId="18" fillId="0" borderId="19" xfId="0" applyFont="1" applyBorder="1"/>
    <xf numFmtId="0" fontId="18" fillId="0" borderId="19" xfId="0" applyFont="1" applyBorder="1" applyAlignment="1">
      <alignment wrapText="1"/>
    </xf>
    <xf numFmtId="0" fontId="18" fillId="0" borderId="29" xfId="0" applyFont="1" applyBorder="1"/>
    <xf numFmtId="0" fontId="18" fillId="0" borderId="21" xfId="0" applyFont="1" applyBorder="1" applyAlignment="1">
      <alignment wrapText="1"/>
    </xf>
    <xf numFmtId="0" fontId="18" fillId="0" borderId="15" xfId="0" applyFont="1" applyBorder="1"/>
    <xf numFmtId="0" fontId="18" fillId="0" borderId="15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8" fillId="0" borderId="6" xfId="0" applyFont="1" applyBorder="1" applyAlignment="1">
      <alignment wrapText="1"/>
    </xf>
    <xf numFmtId="164" fontId="18" fillId="0" borderId="0" xfId="0" applyNumberFormat="1" applyFont="1" applyAlignment="1">
      <alignment vertical="center"/>
    </xf>
    <xf numFmtId="0" fontId="18" fillId="0" borderId="0" xfId="0" applyFont="1" applyAlignment="1">
      <alignment wrapText="1"/>
    </xf>
    <xf numFmtId="0" fontId="18" fillId="0" borderId="15" xfId="0" applyFont="1" applyBorder="1" applyAlignment="1">
      <alignment horizontal="left" wrapText="1"/>
    </xf>
    <xf numFmtId="0" fontId="18" fillId="0" borderId="4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4" xfId="0" applyFont="1" applyBorder="1" applyAlignment="1">
      <alignment vertical="center"/>
    </xf>
    <xf numFmtId="9" fontId="18" fillId="0" borderId="43" xfId="2" applyFont="1" applyBorder="1" applyAlignment="1">
      <alignment vertical="center"/>
    </xf>
    <xf numFmtId="9" fontId="18" fillId="0" borderId="0" xfId="2" applyFont="1" applyAlignment="1">
      <alignment vertical="center"/>
    </xf>
    <xf numFmtId="9" fontId="18" fillId="0" borderId="14" xfId="2" applyFont="1" applyBorder="1" applyAlignment="1">
      <alignment vertical="center"/>
    </xf>
    <xf numFmtId="9" fontId="18" fillId="0" borderId="3" xfId="2" applyFont="1" applyBorder="1" applyAlignment="1">
      <alignment vertical="center"/>
    </xf>
    <xf numFmtId="9" fontId="18" fillId="0" borderId="9" xfId="2" applyFont="1" applyBorder="1" applyAlignment="1">
      <alignment vertical="center"/>
    </xf>
    <xf numFmtId="9" fontId="18" fillId="0" borderId="7" xfId="2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8" fillId="0" borderId="32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16" xfId="0" applyFont="1" applyBorder="1" applyAlignment="1">
      <alignment vertical="center" wrapText="1"/>
    </xf>
    <xf numFmtId="0" fontId="18" fillId="0" borderId="3" xfId="0" applyFont="1" applyBorder="1" applyAlignment="1">
      <alignment vertical="center"/>
    </xf>
    <xf numFmtId="0" fontId="18" fillId="0" borderId="39" xfId="0" applyFont="1" applyBorder="1" applyAlignment="1">
      <alignment vertical="center"/>
    </xf>
    <xf numFmtId="0" fontId="18" fillId="0" borderId="30" xfId="0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0" fontId="18" fillId="0" borderId="22" xfId="0" applyFont="1" applyBorder="1" applyAlignment="1">
      <alignment vertical="center" wrapText="1"/>
    </xf>
    <xf numFmtId="0" fontId="18" fillId="0" borderId="23" xfId="0" applyFont="1" applyBorder="1" applyAlignment="1">
      <alignment vertical="center"/>
    </xf>
    <xf numFmtId="0" fontId="18" fillId="0" borderId="23" xfId="0" applyFont="1" applyBorder="1" applyAlignment="1">
      <alignment vertical="center" wrapText="1"/>
    </xf>
    <xf numFmtId="0" fontId="18" fillId="0" borderId="7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165" fontId="2" fillId="0" borderId="47" xfId="0" applyNumberFormat="1" applyFont="1" applyBorder="1"/>
    <xf numFmtId="0" fontId="17" fillId="2" borderId="30" xfId="0" applyFont="1" applyFill="1" applyBorder="1" applyAlignment="1">
      <alignment horizontal="center"/>
    </xf>
    <xf numFmtId="0" fontId="17" fillId="2" borderId="45" xfId="0" applyFont="1" applyFill="1" applyBorder="1" applyAlignment="1">
      <alignment vertical="center"/>
    </xf>
    <xf numFmtId="0" fontId="17" fillId="2" borderId="29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0" xfId="0" applyBorder="1" applyAlignment="1">
      <alignment horizontal="center"/>
    </xf>
    <xf numFmtId="0" fontId="8" fillId="0" borderId="2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2" fillId="6" borderId="40" xfId="0" applyFont="1" applyFill="1" applyBorder="1" applyAlignment="1">
      <alignment horizontal="left" vertical="center"/>
    </xf>
    <xf numFmtId="0" fontId="12" fillId="6" borderId="37" xfId="0" applyFont="1" applyFill="1" applyBorder="1" applyAlignment="1">
      <alignment horizontal="left" vertical="center"/>
    </xf>
  </cellXfs>
  <cellStyles count="3">
    <cellStyle name="Normal" xfId="0" builtinId="0"/>
    <cellStyle name="Percent" xfId="1" builtinId="5"/>
    <cellStyle name="Percent 2" xfId="2" xr:uid="{7398023A-A4A9-4FB6-A877-1D2FA964579B}"/>
  </cellStyles>
  <dxfs count="0"/>
  <tableStyles count="0" defaultTableStyle="TableStyleMedium2" defaultPivotStyle="PivotStyleLight16"/>
  <colors>
    <mruColors>
      <color rgb="FF00FF00"/>
      <color rgb="FFFF0066"/>
      <color rgb="FF000066"/>
      <color rgb="FFFF00FF"/>
      <color rgb="FF000000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solidFill>
          <a:schemeClr val="bg2"/>
        </a:solidFill>
        <a:ln w="9525" cmpd="sng">
          <a:solidFill>
            <a:schemeClr val="bg1"/>
          </a:solidFill>
        </a:ln>
      </a:spPr>
      <a:bodyPr vertOverflow="clip" horzOverflow="clip" wrap="square" rtlCol="0" anchor="t"/>
      <a:lstStyle>
        <a:defPPr algn="l">
          <a:defRPr sz="1400" b="1">
            <a:latin typeface="Arial" panose="020B0604020202020204" pitchFamily="34" charset="0"/>
            <a:cs typeface="Arial" panose="020B0604020202020204" pitchFamily="3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I1161"/>
  <sheetViews>
    <sheetView zoomScale="95" zoomScaleNormal="95" workbookViewId="0">
      <pane ySplit="1" topLeftCell="A569" activePane="bottomLeft" state="frozen"/>
      <selection activeCell="B1" sqref="B1"/>
      <selection pane="bottomLeft" activeCell="D872" sqref="D872"/>
    </sheetView>
  </sheetViews>
  <sheetFormatPr defaultRowHeight="18.75" x14ac:dyDescent="0.4"/>
  <cols>
    <col min="1" max="1" width="9.140625" style="8"/>
    <col min="2" max="2" width="54.140625" style="1" bestFit="1" customWidth="1"/>
    <col min="3" max="3" width="22.42578125" style="3" customWidth="1"/>
    <col min="4" max="4" width="45.42578125" style="1" bestFit="1" customWidth="1"/>
    <col min="5" max="5" width="14.85546875" style="10" customWidth="1"/>
    <col min="6" max="6" width="18.85546875" style="96" bestFit="1" customWidth="1"/>
    <col min="7" max="7" width="14.42578125" style="96" customWidth="1"/>
    <col min="8" max="8" width="14" customWidth="1"/>
  </cols>
  <sheetData>
    <row r="1" spans="1:8" s="4" customFormat="1" ht="23.25" thickBot="1" x14ac:dyDescent="0.5">
      <c r="A1" s="19" t="s">
        <v>0</v>
      </c>
      <c r="B1" s="98" t="s">
        <v>3</v>
      </c>
      <c r="C1" s="100" t="s">
        <v>4</v>
      </c>
      <c r="D1" s="101" t="s">
        <v>5</v>
      </c>
      <c r="E1" s="102" t="s">
        <v>2</v>
      </c>
      <c r="F1" s="117" t="s">
        <v>1</v>
      </c>
      <c r="G1" s="103"/>
      <c r="H1" s="18"/>
    </row>
    <row r="2" spans="1:8" x14ac:dyDescent="0.4">
      <c r="A2" s="8">
        <v>1</v>
      </c>
      <c r="B2" s="33" t="s">
        <v>45</v>
      </c>
      <c r="C2" s="97" t="s">
        <v>43</v>
      </c>
      <c r="D2" s="46" t="s">
        <v>579</v>
      </c>
      <c r="E2" s="13">
        <v>36690</v>
      </c>
      <c r="F2" s="108">
        <f>SUM(G2)</f>
        <v>1</v>
      </c>
      <c r="G2" s="104">
        <v>1</v>
      </c>
    </row>
    <row r="3" spans="1:8" x14ac:dyDescent="0.4">
      <c r="B3" s="14"/>
      <c r="D3" s="75" t="s">
        <v>580</v>
      </c>
      <c r="E3" s="6">
        <v>36690</v>
      </c>
      <c r="F3" s="109">
        <f>SUM(G3)</f>
        <v>2</v>
      </c>
      <c r="G3" s="105">
        <v>2</v>
      </c>
    </row>
    <row r="4" spans="1:8" x14ac:dyDescent="0.4">
      <c r="B4" s="14" t="str">
        <f>"TOTAL PCS = " &amp; SUM(F2:F9)</f>
        <v>TOTAL PCS = 10</v>
      </c>
      <c r="D4" s="75" t="s">
        <v>587</v>
      </c>
      <c r="E4" s="6">
        <v>41990</v>
      </c>
      <c r="F4" s="109">
        <f t="shared" ref="F4:F9" si="0">SUM(G4)</f>
        <v>1</v>
      </c>
      <c r="G4" s="105">
        <v>1</v>
      </c>
    </row>
    <row r="5" spans="1:8" x14ac:dyDescent="0.4">
      <c r="B5" s="14"/>
      <c r="D5" s="75" t="s">
        <v>588</v>
      </c>
      <c r="E5" s="6">
        <v>36690</v>
      </c>
      <c r="F5" s="109">
        <f t="shared" si="0"/>
        <v>0</v>
      </c>
      <c r="G5" s="105">
        <v>0</v>
      </c>
    </row>
    <row r="6" spans="1:8" x14ac:dyDescent="0.4">
      <c r="B6" s="14"/>
      <c r="D6" s="75" t="s">
        <v>583</v>
      </c>
      <c r="E6" s="6">
        <v>36690</v>
      </c>
      <c r="F6" s="109">
        <f t="shared" si="0"/>
        <v>1</v>
      </c>
      <c r="G6" s="105">
        <v>1</v>
      </c>
    </row>
    <row r="7" spans="1:8" x14ac:dyDescent="0.4">
      <c r="B7" s="14"/>
      <c r="D7" s="75" t="s">
        <v>584</v>
      </c>
      <c r="E7" s="6">
        <v>36690</v>
      </c>
      <c r="F7" s="109">
        <f t="shared" si="0"/>
        <v>2</v>
      </c>
      <c r="G7" s="105">
        <v>2</v>
      </c>
    </row>
    <row r="8" spans="1:8" x14ac:dyDescent="0.4">
      <c r="B8" s="14"/>
      <c r="D8" s="75" t="s">
        <v>585</v>
      </c>
      <c r="E8" s="6">
        <v>36690</v>
      </c>
      <c r="F8" s="109">
        <f t="shared" si="0"/>
        <v>1</v>
      </c>
      <c r="G8" s="105">
        <v>1</v>
      </c>
    </row>
    <row r="9" spans="1:8" ht="19.5" thickBot="1" x14ac:dyDescent="0.45">
      <c r="B9" s="15"/>
      <c r="C9" s="16"/>
      <c r="D9" s="47" t="s">
        <v>586</v>
      </c>
      <c r="E9" s="17">
        <v>36690</v>
      </c>
      <c r="F9" s="110">
        <f t="shared" si="0"/>
        <v>2</v>
      </c>
      <c r="G9" s="106">
        <v>2</v>
      </c>
    </row>
    <row r="10" spans="1:8" ht="19.5" thickBot="1" x14ac:dyDescent="0.45">
      <c r="D10" s="48"/>
    </row>
    <row r="11" spans="1:8" x14ac:dyDescent="0.4">
      <c r="A11" s="8">
        <v>2</v>
      </c>
      <c r="B11" s="33" t="s">
        <v>446</v>
      </c>
      <c r="C11" s="97" t="s">
        <v>44</v>
      </c>
      <c r="D11" s="46" t="s">
        <v>579</v>
      </c>
      <c r="E11" s="13">
        <v>15690</v>
      </c>
      <c r="F11" s="108">
        <f>SUM(G11)</f>
        <v>2</v>
      </c>
      <c r="G11" s="104">
        <v>2</v>
      </c>
    </row>
    <row r="12" spans="1:8" x14ac:dyDescent="0.4">
      <c r="B12" s="14"/>
      <c r="D12" s="75" t="s">
        <v>580</v>
      </c>
      <c r="E12" s="6">
        <v>15690</v>
      </c>
      <c r="F12" s="109">
        <f>SUM(G12)</f>
        <v>0</v>
      </c>
      <c r="G12" s="105">
        <v>0</v>
      </c>
    </row>
    <row r="13" spans="1:8" x14ac:dyDescent="0.4">
      <c r="B13" s="14" t="str">
        <f>"TOTAL PCS = " &amp; SUM(F11:F18)</f>
        <v>TOTAL PCS = 10</v>
      </c>
      <c r="D13" s="75" t="s">
        <v>581</v>
      </c>
      <c r="E13" s="6">
        <v>15690</v>
      </c>
      <c r="F13" s="109">
        <f t="shared" ref="F13:F18" si="1">SUM(G13)</f>
        <v>1</v>
      </c>
      <c r="G13" s="105">
        <v>1</v>
      </c>
    </row>
    <row r="14" spans="1:8" x14ac:dyDescent="0.4">
      <c r="B14" s="14"/>
      <c r="D14" s="75" t="s">
        <v>582</v>
      </c>
      <c r="E14" s="6">
        <v>15690</v>
      </c>
      <c r="F14" s="109">
        <f t="shared" si="1"/>
        <v>0</v>
      </c>
      <c r="G14" s="105">
        <v>0</v>
      </c>
    </row>
    <row r="15" spans="1:8" x14ac:dyDescent="0.4">
      <c r="B15" s="14"/>
      <c r="D15" s="75" t="s">
        <v>583</v>
      </c>
      <c r="E15" s="6">
        <v>13590</v>
      </c>
      <c r="F15" s="109">
        <f t="shared" si="1"/>
        <v>1</v>
      </c>
      <c r="G15" s="105">
        <v>1</v>
      </c>
    </row>
    <row r="16" spans="1:8" x14ac:dyDescent="0.4">
      <c r="B16" s="14"/>
      <c r="D16" s="75" t="s">
        <v>584</v>
      </c>
      <c r="E16" s="6">
        <v>13590</v>
      </c>
      <c r="F16" s="109">
        <f t="shared" si="1"/>
        <v>2</v>
      </c>
      <c r="G16" s="105">
        <v>2</v>
      </c>
    </row>
    <row r="17" spans="1:8" x14ac:dyDescent="0.4">
      <c r="B17" s="14"/>
      <c r="D17" s="76" t="s">
        <v>585</v>
      </c>
      <c r="E17" s="7">
        <v>13590</v>
      </c>
      <c r="F17" s="109">
        <f t="shared" si="1"/>
        <v>3</v>
      </c>
      <c r="G17" s="107">
        <v>3</v>
      </c>
    </row>
    <row r="18" spans="1:8" ht="19.5" thickBot="1" x14ac:dyDescent="0.45">
      <c r="B18" s="15"/>
      <c r="C18" s="16"/>
      <c r="D18" s="47" t="s">
        <v>586</v>
      </c>
      <c r="E18" s="17">
        <v>13590</v>
      </c>
      <c r="F18" s="110">
        <f t="shared" si="1"/>
        <v>1</v>
      </c>
      <c r="G18" s="106">
        <v>1</v>
      </c>
    </row>
    <row r="19" spans="1:8" ht="19.5" thickBot="1" x14ac:dyDescent="0.45">
      <c r="D19" s="48"/>
    </row>
    <row r="20" spans="1:8" x14ac:dyDescent="0.4">
      <c r="A20" s="8">
        <v>3</v>
      </c>
      <c r="B20" s="33" t="s">
        <v>543</v>
      </c>
      <c r="C20" s="97" t="s">
        <v>10</v>
      </c>
      <c r="D20" s="46" t="s">
        <v>592</v>
      </c>
      <c r="E20" s="13">
        <v>19890</v>
      </c>
      <c r="F20" s="108">
        <f>SUM(G20)</f>
        <v>0</v>
      </c>
      <c r="G20" s="104">
        <v>0</v>
      </c>
    </row>
    <row r="21" spans="1:8" x14ac:dyDescent="0.4">
      <c r="B21" s="14"/>
      <c r="D21" s="75" t="s">
        <v>589</v>
      </c>
      <c r="E21" s="6">
        <v>19890</v>
      </c>
      <c r="F21" s="109">
        <f>SUM(G21)</f>
        <v>2</v>
      </c>
      <c r="G21" s="105">
        <v>2</v>
      </c>
    </row>
    <row r="22" spans="1:8" x14ac:dyDescent="0.4">
      <c r="B22" s="14" t="str">
        <f>"TOTAL PCS = " &amp; SUM(F20:F27)</f>
        <v>TOTAL PCS = 7</v>
      </c>
      <c r="D22" s="75" t="s">
        <v>593</v>
      </c>
      <c r="E22" s="6">
        <v>19890</v>
      </c>
      <c r="F22" s="109">
        <f t="shared" ref="F22:F27" si="2">SUM(G22)</f>
        <v>0</v>
      </c>
      <c r="G22" s="105">
        <v>0</v>
      </c>
    </row>
    <row r="23" spans="1:8" x14ac:dyDescent="0.4">
      <c r="B23" s="14"/>
      <c r="D23" s="75" t="s">
        <v>590</v>
      </c>
      <c r="E23" s="6">
        <v>19890</v>
      </c>
      <c r="F23" s="109">
        <f t="shared" si="2"/>
        <v>3</v>
      </c>
      <c r="G23" s="105">
        <v>3</v>
      </c>
    </row>
    <row r="24" spans="1:8" x14ac:dyDescent="0.4">
      <c r="B24" s="14"/>
      <c r="D24" s="75" t="s">
        <v>591</v>
      </c>
      <c r="E24" s="6">
        <v>19890</v>
      </c>
      <c r="F24" s="109">
        <f t="shared" si="2"/>
        <v>0</v>
      </c>
      <c r="G24" s="105">
        <v>0</v>
      </c>
    </row>
    <row r="25" spans="1:8" x14ac:dyDescent="0.4">
      <c r="B25" s="14"/>
      <c r="D25" s="75" t="s">
        <v>588</v>
      </c>
      <c r="E25" s="6">
        <v>19890</v>
      </c>
      <c r="F25" s="109">
        <f t="shared" si="2"/>
        <v>0</v>
      </c>
      <c r="G25" s="105">
        <v>0</v>
      </c>
    </row>
    <row r="26" spans="1:8" x14ac:dyDescent="0.4">
      <c r="B26" s="14"/>
      <c r="D26" s="76" t="s">
        <v>544</v>
      </c>
      <c r="E26" s="6">
        <v>17790</v>
      </c>
      <c r="F26" s="109">
        <f t="shared" si="2"/>
        <v>0</v>
      </c>
      <c r="G26" s="105">
        <v>0</v>
      </c>
    </row>
    <row r="27" spans="1:8" ht="19.5" thickBot="1" x14ac:dyDescent="0.45">
      <c r="B27" s="15"/>
      <c r="C27" s="16"/>
      <c r="D27" s="47" t="s">
        <v>545</v>
      </c>
      <c r="E27" s="17">
        <v>17790</v>
      </c>
      <c r="F27" s="110">
        <f t="shared" si="2"/>
        <v>2</v>
      </c>
      <c r="G27" s="106">
        <v>2</v>
      </c>
      <c r="H27" t="s">
        <v>533</v>
      </c>
    </row>
    <row r="28" spans="1:8" ht="19.5" thickBot="1" x14ac:dyDescent="0.45">
      <c r="D28" s="48"/>
    </row>
    <row r="29" spans="1:8" x14ac:dyDescent="0.4">
      <c r="A29" s="8">
        <v>4</v>
      </c>
      <c r="B29" s="33" t="s">
        <v>445</v>
      </c>
      <c r="C29" s="97" t="s">
        <v>11</v>
      </c>
      <c r="D29" s="46" t="s">
        <v>594</v>
      </c>
      <c r="E29" s="13">
        <v>14590</v>
      </c>
      <c r="F29" s="108">
        <f>SUM(G29)</f>
        <v>1</v>
      </c>
      <c r="G29" s="104">
        <v>1</v>
      </c>
    </row>
    <row r="30" spans="1:8" x14ac:dyDescent="0.4">
      <c r="B30" s="14"/>
      <c r="D30" s="75" t="s">
        <v>585</v>
      </c>
      <c r="E30" s="6">
        <v>14590</v>
      </c>
      <c r="F30" s="109">
        <f>SUM(G30)</f>
        <v>0</v>
      </c>
      <c r="G30" s="105">
        <v>0</v>
      </c>
    </row>
    <row r="31" spans="1:8" x14ac:dyDescent="0.4">
      <c r="B31" s="14" t="str">
        <f>"TOTAL PCS = " &amp; SUM(F29:F35)</f>
        <v>TOTAL PCS = 1</v>
      </c>
      <c r="D31" s="75" t="s">
        <v>586</v>
      </c>
      <c r="E31" s="6">
        <v>14590</v>
      </c>
      <c r="F31" s="109">
        <f t="shared" ref="F31:F35" si="3">SUM(G31)</f>
        <v>0</v>
      </c>
      <c r="G31" s="105">
        <v>0</v>
      </c>
    </row>
    <row r="32" spans="1:8" x14ac:dyDescent="0.4">
      <c r="B32" s="14"/>
      <c r="D32" s="75" t="s">
        <v>579</v>
      </c>
      <c r="E32" s="6">
        <v>15690</v>
      </c>
      <c r="F32" s="109">
        <f t="shared" si="3"/>
        <v>0</v>
      </c>
      <c r="G32" s="105">
        <v>0</v>
      </c>
    </row>
    <row r="33" spans="1:7" x14ac:dyDescent="0.4">
      <c r="B33" s="14"/>
      <c r="D33" s="75" t="s">
        <v>580</v>
      </c>
      <c r="E33" s="6">
        <v>15690</v>
      </c>
      <c r="F33" s="109">
        <f t="shared" si="3"/>
        <v>0</v>
      </c>
      <c r="G33" s="105">
        <v>0</v>
      </c>
    </row>
    <row r="34" spans="1:7" x14ac:dyDescent="0.4">
      <c r="B34" s="14"/>
      <c r="D34" s="75" t="s">
        <v>593</v>
      </c>
      <c r="E34" s="6">
        <v>15690</v>
      </c>
      <c r="F34" s="109">
        <f t="shared" si="3"/>
        <v>0</v>
      </c>
      <c r="G34" s="105">
        <v>0</v>
      </c>
    </row>
    <row r="35" spans="1:7" ht="19.5" thickBot="1" x14ac:dyDescent="0.45">
      <c r="B35" s="15"/>
      <c r="C35" s="16"/>
      <c r="D35" s="47" t="s">
        <v>595</v>
      </c>
      <c r="E35" s="17">
        <v>15690</v>
      </c>
      <c r="F35" s="110">
        <f t="shared" si="3"/>
        <v>0</v>
      </c>
      <c r="G35" s="106">
        <v>0</v>
      </c>
    </row>
    <row r="36" spans="1:7" ht="19.5" thickBot="1" x14ac:dyDescent="0.45">
      <c r="D36" s="48"/>
    </row>
    <row r="37" spans="1:7" x14ac:dyDescent="0.4">
      <c r="A37" s="8">
        <v>5</v>
      </c>
      <c r="B37" s="33" t="s">
        <v>444</v>
      </c>
      <c r="C37" s="97" t="s">
        <v>12</v>
      </c>
      <c r="D37" s="46" t="s">
        <v>584</v>
      </c>
      <c r="E37" s="13">
        <v>15690</v>
      </c>
      <c r="F37" s="108">
        <f>SUM(G37)</f>
        <v>1</v>
      </c>
      <c r="G37" s="104">
        <v>1</v>
      </c>
    </row>
    <row r="38" spans="1:7" x14ac:dyDescent="0.4">
      <c r="B38" s="14"/>
      <c r="D38" s="75" t="s">
        <v>585</v>
      </c>
      <c r="E38" s="6">
        <v>15690</v>
      </c>
      <c r="F38" s="109">
        <f>SUM(G38)</f>
        <v>0</v>
      </c>
      <c r="G38" s="105">
        <v>0</v>
      </c>
    </row>
    <row r="39" spans="1:7" x14ac:dyDescent="0.4">
      <c r="B39" s="14" t="str">
        <f>"TOTAL PCS = " &amp; SUM(F37:F43)</f>
        <v>TOTAL PCS = 1</v>
      </c>
      <c r="D39" s="75" t="s">
        <v>586</v>
      </c>
      <c r="E39" s="6">
        <v>15690</v>
      </c>
      <c r="F39" s="109">
        <f t="shared" ref="F39:F43" si="4">SUM(G39)</f>
        <v>0</v>
      </c>
      <c r="G39" s="105">
        <v>0</v>
      </c>
    </row>
    <row r="40" spans="1:7" x14ac:dyDescent="0.4">
      <c r="B40" s="14"/>
      <c r="D40" s="75" t="s">
        <v>579</v>
      </c>
      <c r="E40" s="6">
        <v>16690</v>
      </c>
      <c r="F40" s="109">
        <f t="shared" si="4"/>
        <v>0</v>
      </c>
      <c r="G40" s="105">
        <v>0</v>
      </c>
    </row>
    <row r="41" spans="1:7" x14ac:dyDescent="0.4">
      <c r="B41" s="14"/>
      <c r="D41" s="75" t="s">
        <v>580</v>
      </c>
      <c r="E41" s="6">
        <v>16690</v>
      </c>
      <c r="F41" s="109">
        <f t="shared" si="4"/>
        <v>0</v>
      </c>
      <c r="G41" s="105">
        <v>0</v>
      </c>
    </row>
    <row r="42" spans="1:7" x14ac:dyDescent="0.4">
      <c r="B42" s="14"/>
      <c r="D42" s="75" t="s">
        <v>593</v>
      </c>
      <c r="E42" s="6">
        <v>16690</v>
      </c>
      <c r="F42" s="109">
        <f t="shared" si="4"/>
        <v>0</v>
      </c>
      <c r="G42" s="105">
        <v>0</v>
      </c>
    </row>
    <row r="43" spans="1:7" ht="19.5" thickBot="1" x14ac:dyDescent="0.45">
      <c r="B43" s="15"/>
      <c r="C43" s="16"/>
      <c r="D43" s="47" t="s">
        <v>595</v>
      </c>
      <c r="E43" s="17">
        <v>16690</v>
      </c>
      <c r="F43" s="110">
        <f t="shared" si="4"/>
        <v>0</v>
      </c>
      <c r="G43" s="106">
        <v>0</v>
      </c>
    </row>
    <row r="44" spans="1:7" ht="19.5" thickBot="1" x14ac:dyDescent="0.45">
      <c r="D44" s="48"/>
    </row>
    <row r="45" spans="1:7" x14ac:dyDescent="0.4">
      <c r="A45" s="8">
        <v>6</v>
      </c>
      <c r="B45" s="33" t="s">
        <v>443</v>
      </c>
      <c r="C45" s="97" t="s">
        <v>13</v>
      </c>
      <c r="D45" s="46" t="s">
        <v>584</v>
      </c>
      <c r="E45" s="13">
        <v>16690</v>
      </c>
      <c r="F45" s="108">
        <f>SUM(G45)</f>
        <v>2</v>
      </c>
      <c r="G45" s="104">
        <v>2</v>
      </c>
    </row>
    <row r="46" spans="1:7" x14ac:dyDescent="0.4">
      <c r="B46" s="14"/>
      <c r="D46" s="75" t="s">
        <v>585</v>
      </c>
      <c r="E46" s="6">
        <v>16690</v>
      </c>
      <c r="F46" s="109">
        <f>SUM(G46)</f>
        <v>0</v>
      </c>
      <c r="G46" s="105">
        <v>0</v>
      </c>
    </row>
    <row r="47" spans="1:7" x14ac:dyDescent="0.4">
      <c r="B47" s="14" t="str">
        <f>"TOTAL PCS = " &amp; SUM(F45:F51)</f>
        <v>TOTAL PCS = 2</v>
      </c>
      <c r="D47" s="75" t="s">
        <v>586</v>
      </c>
      <c r="E47" s="6">
        <v>16690</v>
      </c>
      <c r="F47" s="109">
        <f t="shared" ref="F47:F51" si="5">SUM(G47)</f>
        <v>0</v>
      </c>
      <c r="G47" s="105">
        <v>0</v>
      </c>
    </row>
    <row r="48" spans="1:7" x14ac:dyDescent="0.4">
      <c r="B48" s="14"/>
      <c r="D48" s="75" t="s">
        <v>592</v>
      </c>
      <c r="E48" s="6">
        <v>18790</v>
      </c>
      <c r="F48" s="109">
        <f t="shared" si="5"/>
        <v>0</v>
      </c>
      <c r="G48" s="105">
        <v>0</v>
      </c>
    </row>
    <row r="49" spans="1:7" x14ac:dyDescent="0.4">
      <c r="B49" s="14"/>
      <c r="D49" s="75" t="s">
        <v>580</v>
      </c>
      <c r="E49" s="6">
        <v>18790</v>
      </c>
      <c r="F49" s="109">
        <f t="shared" si="5"/>
        <v>0</v>
      </c>
      <c r="G49" s="105">
        <v>0</v>
      </c>
    </row>
    <row r="50" spans="1:7" x14ac:dyDescent="0.4">
      <c r="B50" s="14"/>
      <c r="D50" s="75" t="s">
        <v>593</v>
      </c>
      <c r="E50" s="6">
        <v>18790</v>
      </c>
      <c r="F50" s="109">
        <f t="shared" si="5"/>
        <v>0</v>
      </c>
      <c r="G50" s="105">
        <v>0</v>
      </c>
    </row>
    <row r="51" spans="1:7" ht="19.5" thickBot="1" x14ac:dyDescent="0.45">
      <c r="B51" s="15"/>
      <c r="C51" s="16"/>
      <c r="D51" s="47" t="s">
        <v>595</v>
      </c>
      <c r="E51" s="17">
        <v>18790</v>
      </c>
      <c r="F51" s="110">
        <f t="shared" si="5"/>
        <v>0</v>
      </c>
      <c r="G51" s="106">
        <v>0</v>
      </c>
    </row>
    <row r="52" spans="1:7" ht="19.5" thickBot="1" x14ac:dyDescent="0.45">
      <c r="D52" s="48"/>
    </row>
    <row r="53" spans="1:7" x14ac:dyDescent="0.4">
      <c r="A53" s="8">
        <v>7</v>
      </c>
      <c r="B53" s="33" t="s">
        <v>442</v>
      </c>
      <c r="C53" s="97" t="s">
        <v>13</v>
      </c>
      <c r="D53" s="46" t="s">
        <v>584</v>
      </c>
      <c r="E53" s="13">
        <v>16690</v>
      </c>
      <c r="F53" s="108">
        <f>SUM(G53)</f>
        <v>2</v>
      </c>
      <c r="G53" s="104">
        <v>2</v>
      </c>
    </row>
    <row r="54" spans="1:7" x14ac:dyDescent="0.4">
      <c r="B54" s="14"/>
      <c r="D54" s="75" t="s">
        <v>585</v>
      </c>
      <c r="E54" s="6">
        <v>16690</v>
      </c>
      <c r="F54" s="109">
        <f>SUM(G54)</f>
        <v>0</v>
      </c>
      <c r="G54" s="105">
        <v>0</v>
      </c>
    </row>
    <row r="55" spans="1:7" x14ac:dyDescent="0.4">
      <c r="B55" s="14" t="str">
        <f>"TOTAL PCS = " &amp; SUM(F53:F59)</f>
        <v>TOTAL PCS = 4</v>
      </c>
      <c r="D55" s="75" t="s">
        <v>586</v>
      </c>
      <c r="E55" s="6">
        <v>16690</v>
      </c>
      <c r="F55" s="109">
        <f t="shared" ref="F55:F59" si="6">SUM(G55)</f>
        <v>0</v>
      </c>
      <c r="G55" s="105">
        <v>0</v>
      </c>
    </row>
    <row r="56" spans="1:7" x14ac:dyDescent="0.4">
      <c r="B56" s="14"/>
      <c r="D56" s="75" t="s">
        <v>592</v>
      </c>
      <c r="E56" s="6">
        <v>18790</v>
      </c>
      <c r="F56" s="109">
        <f t="shared" si="6"/>
        <v>1</v>
      </c>
      <c r="G56" s="105">
        <v>1</v>
      </c>
    </row>
    <row r="57" spans="1:7" x14ac:dyDescent="0.4">
      <c r="B57" s="14"/>
      <c r="D57" s="75" t="s">
        <v>580</v>
      </c>
      <c r="E57" s="6">
        <v>18790</v>
      </c>
      <c r="F57" s="109">
        <f t="shared" si="6"/>
        <v>1</v>
      </c>
      <c r="G57" s="105">
        <v>1</v>
      </c>
    </row>
    <row r="58" spans="1:7" x14ac:dyDescent="0.4">
      <c r="B58" s="14"/>
      <c r="D58" s="75" t="s">
        <v>593</v>
      </c>
      <c r="E58" s="6">
        <v>18790</v>
      </c>
      <c r="F58" s="109">
        <f t="shared" si="6"/>
        <v>0</v>
      </c>
      <c r="G58" s="105">
        <v>0</v>
      </c>
    </row>
    <row r="59" spans="1:7" ht="19.5" thickBot="1" x14ac:dyDescent="0.45">
      <c r="B59" s="15"/>
      <c r="C59" s="16"/>
      <c r="D59" s="47" t="s">
        <v>595</v>
      </c>
      <c r="E59" s="17">
        <v>18790</v>
      </c>
      <c r="F59" s="110">
        <f t="shared" si="6"/>
        <v>0</v>
      </c>
      <c r="G59" s="106">
        <v>0</v>
      </c>
    </row>
    <row r="60" spans="1:7" ht="14.25" customHeight="1" thickBot="1" x14ac:dyDescent="0.45">
      <c r="D60" s="48"/>
    </row>
    <row r="61" spans="1:7" ht="18.75" customHeight="1" x14ac:dyDescent="0.4">
      <c r="A61" s="8">
        <v>8</v>
      </c>
      <c r="B61" s="126" t="s">
        <v>441</v>
      </c>
      <c r="C61" s="125" t="s">
        <v>14</v>
      </c>
      <c r="D61" s="46" t="s">
        <v>584</v>
      </c>
      <c r="E61" s="20">
        <v>11790</v>
      </c>
      <c r="F61" s="108">
        <f>SUM(G61)</f>
        <v>1</v>
      </c>
      <c r="G61" s="104">
        <v>1</v>
      </c>
    </row>
    <row r="62" spans="1:7" x14ac:dyDescent="0.4">
      <c r="B62" s="21"/>
      <c r="C62" s="22"/>
      <c r="D62" s="75" t="s">
        <v>585</v>
      </c>
      <c r="E62" s="9">
        <v>11790</v>
      </c>
      <c r="F62" s="109">
        <f>SUM(G62)</f>
        <v>0</v>
      </c>
      <c r="G62" s="105">
        <v>0</v>
      </c>
    </row>
    <row r="63" spans="1:7" x14ac:dyDescent="0.4">
      <c r="B63" s="21" t="str">
        <f>"TOTAL PCS = " &amp; SUM(F61:F67)</f>
        <v>TOTAL PCS = 1</v>
      </c>
      <c r="C63" s="22"/>
      <c r="D63" s="75" t="s">
        <v>586</v>
      </c>
      <c r="E63" s="9">
        <v>11790</v>
      </c>
      <c r="F63" s="109">
        <f t="shared" ref="F63:F67" si="7">SUM(G63)</f>
        <v>0</v>
      </c>
      <c r="G63" s="105">
        <v>0</v>
      </c>
    </row>
    <row r="64" spans="1:7" x14ac:dyDescent="0.4">
      <c r="B64" s="21"/>
      <c r="C64" s="22"/>
      <c r="D64" s="75" t="s">
        <v>592</v>
      </c>
      <c r="E64" s="9">
        <v>12990</v>
      </c>
      <c r="F64" s="109">
        <f t="shared" si="7"/>
        <v>0</v>
      </c>
      <c r="G64" s="105">
        <v>0</v>
      </c>
    </row>
    <row r="65" spans="1:7" x14ac:dyDescent="0.4">
      <c r="B65" s="21"/>
      <c r="C65" s="22"/>
      <c r="D65" s="75" t="s">
        <v>580</v>
      </c>
      <c r="E65" s="9">
        <v>12990</v>
      </c>
      <c r="F65" s="109">
        <f t="shared" si="7"/>
        <v>0</v>
      </c>
      <c r="G65" s="105">
        <v>0</v>
      </c>
    </row>
    <row r="66" spans="1:7" x14ac:dyDescent="0.4">
      <c r="B66" s="21"/>
      <c r="C66" s="22"/>
      <c r="D66" s="75" t="s">
        <v>593</v>
      </c>
      <c r="E66" s="9">
        <v>12990</v>
      </c>
      <c r="F66" s="109">
        <f t="shared" si="7"/>
        <v>0</v>
      </c>
      <c r="G66" s="105">
        <v>0</v>
      </c>
    </row>
    <row r="67" spans="1:7" ht="19.5" thickBot="1" x14ac:dyDescent="0.45">
      <c r="B67" s="23"/>
      <c r="C67" s="24"/>
      <c r="D67" s="47" t="s">
        <v>595</v>
      </c>
      <c r="E67" s="25">
        <v>12990</v>
      </c>
      <c r="F67" s="110">
        <f t="shared" si="7"/>
        <v>0</v>
      </c>
      <c r="G67" s="106">
        <v>0</v>
      </c>
    </row>
    <row r="68" spans="1:7" ht="19.5" thickBot="1" x14ac:dyDescent="0.45">
      <c r="B68" s="53"/>
      <c r="C68" s="22"/>
      <c r="D68" s="77"/>
      <c r="E68" s="54"/>
    </row>
    <row r="69" spans="1:7" x14ac:dyDescent="0.4">
      <c r="A69" s="8">
        <v>9</v>
      </c>
      <c r="B69" s="126" t="s">
        <v>440</v>
      </c>
      <c r="C69" s="125" t="s">
        <v>15</v>
      </c>
      <c r="D69" s="46" t="s">
        <v>584</v>
      </c>
      <c r="E69" s="20">
        <v>14590</v>
      </c>
      <c r="F69" s="108">
        <f>SUM(G69)</f>
        <v>0</v>
      </c>
      <c r="G69" s="104">
        <v>0</v>
      </c>
    </row>
    <row r="70" spans="1:7" x14ac:dyDescent="0.4">
      <c r="B70" s="21"/>
      <c r="C70" s="22"/>
      <c r="D70" s="75" t="s">
        <v>585</v>
      </c>
      <c r="E70" s="9">
        <v>14590</v>
      </c>
      <c r="F70" s="109">
        <f>SUM(G70)</f>
        <v>0</v>
      </c>
      <c r="G70" s="105">
        <v>0</v>
      </c>
    </row>
    <row r="71" spans="1:7" x14ac:dyDescent="0.4">
      <c r="B71" s="21" t="str">
        <f>"TOTAL PCS = " &amp; SUM(F69:F75)</f>
        <v>TOTAL PCS = 0</v>
      </c>
      <c r="C71" s="22"/>
      <c r="D71" s="75" t="s">
        <v>586</v>
      </c>
      <c r="E71" s="9">
        <v>14590</v>
      </c>
      <c r="F71" s="109">
        <f t="shared" ref="F71:F75" si="8">SUM(G71)</f>
        <v>0</v>
      </c>
      <c r="G71" s="105">
        <v>0</v>
      </c>
    </row>
    <row r="72" spans="1:7" x14ac:dyDescent="0.4">
      <c r="B72" s="21"/>
      <c r="C72" s="22"/>
      <c r="D72" s="75" t="s">
        <v>592</v>
      </c>
      <c r="E72" s="9">
        <v>15690</v>
      </c>
      <c r="F72" s="109">
        <f t="shared" si="8"/>
        <v>0</v>
      </c>
      <c r="G72" s="105">
        <v>0</v>
      </c>
    </row>
    <row r="73" spans="1:7" x14ac:dyDescent="0.4">
      <c r="B73" s="21"/>
      <c r="C73" s="22"/>
      <c r="D73" s="75" t="s">
        <v>580</v>
      </c>
      <c r="E73" s="9">
        <v>15690</v>
      </c>
      <c r="F73" s="109">
        <f t="shared" si="8"/>
        <v>0</v>
      </c>
      <c r="G73" s="105">
        <v>0</v>
      </c>
    </row>
    <row r="74" spans="1:7" x14ac:dyDescent="0.4">
      <c r="B74" s="21"/>
      <c r="C74" s="22"/>
      <c r="D74" s="75" t="s">
        <v>593</v>
      </c>
      <c r="E74" s="9">
        <v>15690</v>
      </c>
      <c r="F74" s="109">
        <f t="shared" si="8"/>
        <v>0</v>
      </c>
      <c r="G74" s="105">
        <v>0</v>
      </c>
    </row>
    <row r="75" spans="1:7" ht="19.5" thickBot="1" x14ac:dyDescent="0.45">
      <c r="B75" s="23"/>
      <c r="C75" s="24"/>
      <c r="D75" s="47" t="s">
        <v>318</v>
      </c>
      <c r="E75" s="25">
        <v>15690</v>
      </c>
      <c r="F75" s="110">
        <f t="shared" si="8"/>
        <v>0</v>
      </c>
      <c r="G75" s="106">
        <v>0</v>
      </c>
    </row>
    <row r="76" spans="1:7" ht="19.5" thickBot="1" x14ac:dyDescent="0.45">
      <c r="B76" s="53"/>
      <c r="C76" s="22"/>
      <c r="D76" s="77"/>
      <c r="E76" s="54"/>
    </row>
    <row r="77" spans="1:7" x14ac:dyDescent="0.4">
      <c r="A77" s="8">
        <v>10</v>
      </c>
      <c r="B77" s="60" t="s">
        <v>439</v>
      </c>
      <c r="C77" s="57" t="s">
        <v>12</v>
      </c>
      <c r="D77" s="46" t="s">
        <v>584</v>
      </c>
      <c r="E77" s="20">
        <v>15990</v>
      </c>
      <c r="F77" s="108">
        <f>SUM(G77)</f>
        <v>0</v>
      </c>
      <c r="G77" s="108">
        <v>0</v>
      </c>
    </row>
    <row r="78" spans="1:7" x14ac:dyDescent="0.4">
      <c r="B78" s="21"/>
      <c r="C78" s="59"/>
      <c r="D78" s="75" t="s">
        <v>585</v>
      </c>
      <c r="E78" s="9">
        <v>15990</v>
      </c>
      <c r="F78" s="109">
        <f>SUM(G78)</f>
        <v>0</v>
      </c>
      <c r="G78" s="109">
        <v>0</v>
      </c>
    </row>
    <row r="79" spans="1:7" x14ac:dyDescent="0.4">
      <c r="B79" s="21" t="str">
        <f>"TOTAL PCS = " &amp; SUM(F77:F83)</f>
        <v>TOTAL PCS = 0</v>
      </c>
      <c r="C79" s="59"/>
      <c r="D79" s="75" t="s">
        <v>586</v>
      </c>
      <c r="E79" s="9">
        <v>15990</v>
      </c>
      <c r="F79" s="109">
        <f t="shared" ref="F79:F83" si="9">SUM(G79)</f>
        <v>0</v>
      </c>
      <c r="G79" s="109">
        <v>0</v>
      </c>
    </row>
    <row r="80" spans="1:7" x14ac:dyDescent="0.4">
      <c r="B80" s="21"/>
      <c r="C80" s="59"/>
      <c r="D80" s="75" t="s">
        <v>592</v>
      </c>
      <c r="E80" s="9">
        <v>18190</v>
      </c>
      <c r="F80" s="109">
        <f t="shared" si="9"/>
        <v>0</v>
      </c>
      <c r="G80" s="109">
        <v>0</v>
      </c>
    </row>
    <row r="81" spans="1:7" x14ac:dyDescent="0.4">
      <c r="B81" s="21"/>
      <c r="C81" s="59"/>
      <c r="D81" s="75" t="s">
        <v>580</v>
      </c>
      <c r="E81" s="9">
        <v>18190</v>
      </c>
      <c r="F81" s="109">
        <f t="shared" si="9"/>
        <v>0</v>
      </c>
      <c r="G81" s="109">
        <v>0</v>
      </c>
    </row>
    <row r="82" spans="1:7" x14ac:dyDescent="0.4">
      <c r="B82" s="21"/>
      <c r="C82" s="59"/>
      <c r="D82" s="75" t="s">
        <v>593</v>
      </c>
      <c r="E82" s="9">
        <v>18190</v>
      </c>
      <c r="F82" s="109">
        <f t="shared" si="9"/>
        <v>0</v>
      </c>
      <c r="G82" s="109">
        <v>0</v>
      </c>
    </row>
    <row r="83" spans="1:7" ht="19.5" thickBot="1" x14ac:dyDescent="0.45">
      <c r="B83" s="61"/>
      <c r="C83" s="58"/>
      <c r="D83" s="47" t="s">
        <v>595</v>
      </c>
      <c r="E83" s="25">
        <v>18190</v>
      </c>
      <c r="F83" s="110">
        <f t="shared" si="9"/>
        <v>0</v>
      </c>
      <c r="G83" s="110">
        <v>0</v>
      </c>
    </row>
    <row r="84" spans="1:7" ht="19.5" thickBot="1" x14ac:dyDescent="0.45">
      <c r="B84" s="53"/>
      <c r="C84" s="22"/>
      <c r="D84" s="77"/>
      <c r="E84" s="54"/>
    </row>
    <row r="85" spans="1:7" x14ac:dyDescent="0.4">
      <c r="A85" s="8">
        <v>11</v>
      </c>
      <c r="B85" s="126" t="s">
        <v>438</v>
      </c>
      <c r="C85" s="125" t="s">
        <v>12</v>
      </c>
      <c r="D85" s="46" t="s">
        <v>584</v>
      </c>
      <c r="E85" s="20">
        <v>15390</v>
      </c>
      <c r="F85" s="108">
        <f>SUM(G85)</f>
        <v>3</v>
      </c>
      <c r="G85" s="104">
        <v>3</v>
      </c>
    </row>
    <row r="86" spans="1:7" x14ac:dyDescent="0.4">
      <c r="B86" s="21"/>
      <c r="C86" s="22"/>
      <c r="D86" s="75" t="s">
        <v>585</v>
      </c>
      <c r="E86" s="9">
        <v>15390</v>
      </c>
      <c r="F86" s="109">
        <f>SUM(G86)</f>
        <v>0</v>
      </c>
      <c r="G86" s="105">
        <v>0</v>
      </c>
    </row>
    <row r="87" spans="1:7" x14ac:dyDescent="0.4">
      <c r="B87" s="21" t="str">
        <f>"TOTAL PCS = " &amp; SUM(F85:F91)</f>
        <v>TOTAL PCS = 4</v>
      </c>
      <c r="C87" s="22"/>
      <c r="D87" s="75" t="s">
        <v>586</v>
      </c>
      <c r="E87" s="9">
        <v>15390</v>
      </c>
      <c r="F87" s="109">
        <f t="shared" ref="F87:F91" si="10">SUM(G87)</f>
        <v>0</v>
      </c>
      <c r="G87" s="105">
        <v>0</v>
      </c>
    </row>
    <row r="88" spans="1:7" x14ac:dyDescent="0.4">
      <c r="B88" s="21"/>
      <c r="C88" s="22"/>
      <c r="D88" s="75" t="s">
        <v>592</v>
      </c>
      <c r="E88" s="9">
        <v>19190</v>
      </c>
      <c r="F88" s="109">
        <f t="shared" si="10"/>
        <v>0</v>
      </c>
      <c r="G88" s="105">
        <v>0</v>
      </c>
    </row>
    <row r="89" spans="1:7" x14ac:dyDescent="0.4">
      <c r="B89" s="21"/>
      <c r="C89" s="22"/>
      <c r="D89" s="75" t="s">
        <v>580</v>
      </c>
      <c r="E89" s="9">
        <v>19190</v>
      </c>
      <c r="F89" s="109">
        <f t="shared" si="10"/>
        <v>1</v>
      </c>
      <c r="G89" s="105">
        <v>1</v>
      </c>
    </row>
    <row r="90" spans="1:7" x14ac:dyDescent="0.4">
      <c r="B90" s="21"/>
      <c r="C90" s="22"/>
      <c r="D90" s="75" t="s">
        <v>593</v>
      </c>
      <c r="E90" s="9">
        <v>19190</v>
      </c>
      <c r="F90" s="109">
        <f t="shared" si="10"/>
        <v>0</v>
      </c>
      <c r="G90" s="105">
        <v>0</v>
      </c>
    </row>
    <row r="91" spans="1:7" ht="19.5" thickBot="1" x14ac:dyDescent="0.45">
      <c r="B91" s="23"/>
      <c r="C91" s="24"/>
      <c r="D91" s="47" t="s">
        <v>595</v>
      </c>
      <c r="E91" s="25">
        <v>19190</v>
      </c>
      <c r="F91" s="110">
        <f t="shared" si="10"/>
        <v>0</v>
      </c>
      <c r="G91" s="106">
        <v>0</v>
      </c>
    </row>
    <row r="92" spans="1:7" ht="19.5" thickBot="1" x14ac:dyDescent="0.45">
      <c r="B92" s="53"/>
      <c r="C92" s="22"/>
      <c r="D92" s="77"/>
      <c r="E92" s="54"/>
    </row>
    <row r="93" spans="1:7" x14ac:dyDescent="0.4">
      <c r="A93" s="8">
        <v>12</v>
      </c>
      <c r="B93" s="126" t="s">
        <v>437</v>
      </c>
      <c r="C93" s="125" t="s">
        <v>16</v>
      </c>
      <c r="D93" s="46" t="s">
        <v>584</v>
      </c>
      <c r="E93" s="20">
        <v>17790</v>
      </c>
      <c r="F93" s="108">
        <f>SUM(G93)</f>
        <v>0</v>
      </c>
      <c r="G93" s="104">
        <v>0</v>
      </c>
    </row>
    <row r="94" spans="1:7" x14ac:dyDescent="0.4">
      <c r="B94" s="21"/>
      <c r="C94" s="22"/>
      <c r="D94" s="75" t="s">
        <v>585</v>
      </c>
      <c r="E94" s="9">
        <v>17790</v>
      </c>
      <c r="F94" s="109">
        <f>SUM(G94)</f>
        <v>0</v>
      </c>
      <c r="G94" s="105">
        <v>0</v>
      </c>
    </row>
    <row r="95" spans="1:7" x14ac:dyDescent="0.4">
      <c r="B95" s="21" t="str">
        <f>"TOTAL PCS = " &amp; SUM(F93:F99)</f>
        <v>TOTAL PCS = 0</v>
      </c>
      <c r="C95" s="22"/>
      <c r="D95" s="75" t="s">
        <v>586</v>
      </c>
      <c r="E95" s="9">
        <v>17790</v>
      </c>
      <c r="F95" s="109">
        <f t="shared" ref="F95:F99" si="11">SUM(G95)</f>
        <v>0</v>
      </c>
      <c r="G95" s="105">
        <v>0</v>
      </c>
    </row>
    <row r="96" spans="1:7" x14ac:dyDescent="0.4">
      <c r="B96" s="21"/>
      <c r="C96" s="22"/>
      <c r="D96" s="75" t="s">
        <v>592</v>
      </c>
      <c r="E96" s="9">
        <v>18790</v>
      </c>
      <c r="F96" s="109">
        <f t="shared" si="11"/>
        <v>0</v>
      </c>
      <c r="G96" s="105">
        <v>0</v>
      </c>
    </row>
    <row r="97" spans="1:7" x14ac:dyDescent="0.4">
      <c r="B97" s="21"/>
      <c r="C97" s="22"/>
      <c r="D97" s="75" t="s">
        <v>580</v>
      </c>
      <c r="E97" s="9">
        <v>18790</v>
      </c>
      <c r="F97" s="109">
        <f t="shared" si="11"/>
        <v>0</v>
      </c>
      <c r="G97" s="105">
        <v>0</v>
      </c>
    </row>
    <row r="98" spans="1:7" x14ac:dyDescent="0.4">
      <c r="B98" s="21"/>
      <c r="C98" s="22"/>
      <c r="D98" s="75" t="s">
        <v>593</v>
      </c>
      <c r="E98" s="9">
        <v>18790</v>
      </c>
      <c r="F98" s="109">
        <f t="shared" si="11"/>
        <v>0</v>
      </c>
      <c r="G98" s="105">
        <v>0</v>
      </c>
    </row>
    <row r="99" spans="1:7" ht="19.5" thickBot="1" x14ac:dyDescent="0.45">
      <c r="B99" s="23"/>
      <c r="C99" s="24"/>
      <c r="D99" s="47" t="s">
        <v>595</v>
      </c>
      <c r="E99" s="25">
        <v>18790</v>
      </c>
      <c r="F99" s="110">
        <f t="shared" si="11"/>
        <v>0</v>
      </c>
      <c r="G99" s="106">
        <v>0</v>
      </c>
    </row>
    <row r="100" spans="1:7" ht="19.5" thickBot="1" x14ac:dyDescent="0.45">
      <c r="B100" s="53"/>
      <c r="C100" s="22"/>
      <c r="D100" s="77"/>
      <c r="E100" s="54"/>
    </row>
    <row r="101" spans="1:7" x14ac:dyDescent="0.4">
      <c r="A101" s="8">
        <v>13</v>
      </c>
      <c r="B101" s="126" t="s">
        <v>319</v>
      </c>
      <c r="C101" s="125" t="s">
        <v>17</v>
      </c>
      <c r="D101" s="78" t="s">
        <v>18</v>
      </c>
      <c r="E101" s="20">
        <v>45500</v>
      </c>
      <c r="F101" s="108">
        <f>SUM(G101)</f>
        <v>0</v>
      </c>
      <c r="G101" s="104">
        <v>0</v>
      </c>
    </row>
    <row r="102" spans="1:7" x14ac:dyDescent="0.4">
      <c r="B102" s="21"/>
      <c r="C102" s="22"/>
      <c r="D102" s="79" t="s">
        <v>19</v>
      </c>
      <c r="E102" s="9">
        <v>45500</v>
      </c>
      <c r="F102" s="109">
        <f>SUM(G102)</f>
        <v>0</v>
      </c>
      <c r="G102" s="105">
        <v>0</v>
      </c>
    </row>
    <row r="103" spans="1:7" x14ac:dyDescent="0.4">
      <c r="B103" s="21" t="str">
        <f>"TOTAL PCS = " &amp; SUM(F101:F105)</f>
        <v>TOTAL PCS = 0</v>
      </c>
      <c r="C103" s="22"/>
      <c r="D103" s="79" t="s">
        <v>20</v>
      </c>
      <c r="E103" s="9">
        <v>42900</v>
      </c>
      <c r="F103" s="109">
        <f t="shared" ref="F103:F105" si="12">SUM(G103)</f>
        <v>0</v>
      </c>
      <c r="G103" s="105">
        <v>0</v>
      </c>
    </row>
    <row r="104" spans="1:7" x14ac:dyDescent="0.4">
      <c r="B104" s="21"/>
      <c r="C104" s="22"/>
      <c r="D104" s="79" t="s">
        <v>21</v>
      </c>
      <c r="E104" s="9">
        <v>45500</v>
      </c>
      <c r="F104" s="109">
        <f t="shared" si="12"/>
        <v>0</v>
      </c>
      <c r="G104" s="105">
        <v>0</v>
      </c>
    </row>
    <row r="105" spans="1:7" ht="19.5" thickBot="1" x14ac:dyDescent="0.45">
      <c r="B105" s="23"/>
      <c r="C105" s="24"/>
      <c r="D105" s="80" t="s">
        <v>22</v>
      </c>
      <c r="E105" s="25">
        <v>42900</v>
      </c>
      <c r="F105" s="110">
        <f t="shared" si="12"/>
        <v>0</v>
      </c>
      <c r="G105" s="106">
        <v>0</v>
      </c>
    </row>
    <row r="106" spans="1:7" ht="19.5" thickBot="1" x14ac:dyDescent="0.45">
      <c r="B106" s="53"/>
      <c r="C106" s="22"/>
      <c r="D106" s="77"/>
      <c r="E106" s="54"/>
    </row>
    <row r="107" spans="1:7" x14ac:dyDescent="0.4">
      <c r="A107" s="8">
        <v>14</v>
      </c>
      <c r="B107" s="126" t="s">
        <v>320</v>
      </c>
      <c r="C107" s="125" t="s">
        <v>10</v>
      </c>
      <c r="D107" s="78" t="s">
        <v>18</v>
      </c>
      <c r="E107" s="20">
        <v>47800</v>
      </c>
      <c r="F107" s="108"/>
      <c r="G107" s="104"/>
    </row>
    <row r="108" spans="1:7" x14ac:dyDescent="0.4">
      <c r="B108" s="21"/>
      <c r="C108" s="22"/>
      <c r="D108" s="79" t="s">
        <v>19</v>
      </c>
      <c r="E108" s="9">
        <v>47800</v>
      </c>
      <c r="F108" s="109"/>
      <c r="G108" s="105"/>
    </row>
    <row r="109" spans="1:7" x14ac:dyDescent="0.4">
      <c r="B109" s="21" t="str">
        <f>"TOTAL PCS = " &amp; SUM(F107:F111)</f>
        <v>TOTAL PCS = 0</v>
      </c>
      <c r="C109" s="22"/>
      <c r="D109" s="79" t="s">
        <v>20</v>
      </c>
      <c r="E109" s="6">
        <v>45100</v>
      </c>
      <c r="F109" s="109"/>
      <c r="G109" s="105"/>
    </row>
    <row r="110" spans="1:7" x14ac:dyDescent="0.4">
      <c r="B110" s="21"/>
      <c r="C110" s="22"/>
      <c r="D110" s="79" t="s">
        <v>21</v>
      </c>
      <c r="E110" s="6">
        <v>47800</v>
      </c>
      <c r="F110" s="109"/>
      <c r="G110" s="105"/>
    </row>
    <row r="111" spans="1:7" ht="19.5" thickBot="1" x14ac:dyDescent="0.45">
      <c r="B111" s="23"/>
      <c r="C111" s="24"/>
      <c r="D111" s="80" t="s">
        <v>22</v>
      </c>
      <c r="E111" s="17">
        <v>45100</v>
      </c>
      <c r="F111" s="110"/>
      <c r="G111" s="106"/>
    </row>
    <row r="112" spans="1:7" ht="19.5" thickBot="1" x14ac:dyDescent="0.45">
      <c r="B112" s="53"/>
      <c r="C112" s="22"/>
      <c r="D112" s="77"/>
    </row>
    <row r="113" spans="1:7" x14ac:dyDescent="0.4">
      <c r="A113" s="8">
        <v>15</v>
      </c>
      <c r="B113" s="126" t="s">
        <v>321</v>
      </c>
      <c r="C113" s="125" t="s">
        <v>11</v>
      </c>
      <c r="D113" s="78" t="s">
        <v>18</v>
      </c>
      <c r="E113" s="20">
        <v>50100</v>
      </c>
      <c r="F113" s="108"/>
      <c r="G113" s="104"/>
    </row>
    <row r="114" spans="1:7" x14ac:dyDescent="0.4">
      <c r="B114" s="21"/>
      <c r="C114" s="22"/>
      <c r="D114" s="79" t="s">
        <v>19</v>
      </c>
      <c r="E114" s="9">
        <v>50100</v>
      </c>
      <c r="F114" s="109"/>
      <c r="G114" s="105"/>
    </row>
    <row r="115" spans="1:7" x14ac:dyDescent="0.4">
      <c r="B115" s="21" t="str">
        <f>"TOTAL PCS = " &amp; SUM(F113:F117)</f>
        <v>TOTAL PCS = 0</v>
      </c>
      <c r="C115" s="22"/>
      <c r="D115" s="79" t="s">
        <v>20</v>
      </c>
      <c r="E115" s="9">
        <v>47500</v>
      </c>
      <c r="F115" s="109"/>
      <c r="G115" s="105"/>
    </row>
    <row r="116" spans="1:7" x14ac:dyDescent="0.4">
      <c r="B116" s="21"/>
      <c r="C116" s="22"/>
      <c r="D116" s="79" t="s">
        <v>21</v>
      </c>
      <c r="E116" s="9">
        <v>50100</v>
      </c>
      <c r="F116" s="109"/>
      <c r="G116" s="105"/>
    </row>
    <row r="117" spans="1:7" ht="19.5" thickBot="1" x14ac:dyDescent="0.45">
      <c r="B117" s="23"/>
      <c r="C117" s="24"/>
      <c r="D117" s="80" t="s">
        <v>22</v>
      </c>
      <c r="E117" s="25">
        <v>47500</v>
      </c>
      <c r="F117" s="110"/>
      <c r="G117" s="106"/>
    </row>
    <row r="118" spans="1:7" ht="19.5" thickBot="1" x14ac:dyDescent="0.45">
      <c r="B118" s="53"/>
      <c r="C118" s="22"/>
      <c r="D118" s="77"/>
      <c r="E118" s="54"/>
    </row>
    <row r="119" spans="1:7" x14ac:dyDescent="0.4">
      <c r="A119" s="8">
        <v>16</v>
      </c>
      <c r="B119" s="126" t="s">
        <v>436</v>
      </c>
      <c r="C119" s="125" t="s">
        <v>23</v>
      </c>
      <c r="D119" s="78" t="s">
        <v>18</v>
      </c>
      <c r="E119" s="20">
        <v>36300</v>
      </c>
      <c r="F119" s="108"/>
      <c r="G119" s="104"/>
    </row>
    <row r="120" spans="1:7" x14ac:dyDescent="0.4">
      <c r="B120" s="21"/>
      <c r="C120" s="22"/>
      <c r="D120" s="79" t="s">
        <v>19</v>
      </c>
      <c r="E120" s="9">
        <v>36300</v>
      </c>
      <c r="F120" s="109"/>
      <c r="G120" s="105"/>
    </row>
    <row r="121" spans="1:7" x14ac:dyDescent="0.4">
      <c r="B121" s="21" t="str">
        <f>"TOTAL PCS = " &amp; SUM(F119:F123)</f>
        <v>TOTAL PCS = 0</v>
      </c>
      <c r="C121" s="22"/>
      <c r="D121" s="79" t="s">
        <v>20</v>
      </c>
      <c r="E121" s="9">
        <v>33800</v>
      </c>
      <c r="F121" s="109"/>
      <c r="G121" s="105"/>
    </row>
    <row r="122" spans="1:7" x14ac:dyDescent="0.4">
      <c r="B122" s="21"/>
      <c r="C122" s="22"/>
      <c r="D122" s="79" t="s">
        <v>21</v>
      </c>
      <c r="E122" s="9">
        <v>36300</v>
      </c>
      <c r="F122" s="109"/>
      <c r="G122" s="105"/>
    </row>
    <row r="123" spans="1:7" ht="19.5" thickBot="1" x14ac:dyDescent="0.45">
      <c r="B123" s="23"/>
      <c r="C123" s="24"/>
      <c r="D123" s="80" t="s">
        <v>22</v>
      </c>
      <c r="E123" s="25">
        <v>33800</v>
      </c>
      <c r="F123" s="110"/>
      <c r="G123" s="106"/>
    </row>
    <row r="124" spans="1:7" ht="19.5" thickBot="1" x14ac:dyDescent="0.45">
      <c r="B124" s="53"/>
      <c r="C124" s="22"/>
      <c r="D124" s="77"/>
      <c r="E124" s="54"/>
    </row>
    <row r="125" spans="1:7" x14ac:dyDescent="0.4">
      <c r="A125" s="8">
        <v>17</v>
      </c>
      <c r="B125" s="126" t="s">
        <v>435</v>
      </c>
      <c r="C125" s="125" t="s">
        <v>10</v>
      </c>
      <c r="D125" s="78" t="s">
        <v>18</v>
      </c>
      <c r="E125" s="20">
        <v>38100</v>
      </c>
      <c r="F125" s="108"/>
      <c r="G125" s="104"/>
    </row>
    <row r="126" spans="1:7" x14ac:dyDescent="0.4">
      <c r="B126" s="21"/>
      <c r="C126" s="22"/>
      <c r="D126" s="79" t="s">
        <v>19</v>
      </c>
      <c r="E126" s="9">
        <v>38100</v>
      </c>
      <c r="F126" s="109"/>
      <c r="G126" s="105"/>
    </row>
    <row r="127" spans="1:7" x14ac:dyDescent="0.4">
      <c r="B127" s="21" t="str">
        <f>"TOTAL PCS = " &amp; SUM(F125:F129)</f>
        <v>TOTAL PCS = 0</v>
      </c>
      <c r="C127" s="22"/>
      <c r="D127" s="79" t="s">
        <v>20</v>
      </c>
      <c r="E127" s="9">
        <v>35600</v>
      </c>
      <c r="F127" s="109"/>
      <c r="G127" s="105"/>
    </row>
    <row r="128" spans="1:7" x14ac:dyDescent="0.4">
      <c r="B128" s="21"/>
      <c r="C128" s="22"/>
      <c r="D128" s="79" t="s">
        <v>21</v>
      </c>
      <c r="E128" s="9">
        <v>38100</v>
      </c>
      <c r="F128" s="109"/>
      <c r="G128" s="105"/>
    </row>
    <row r="129" spans="1:7" ht="19.5" thickBot="1" x14ac:dyDescent="0.45">
      <c r="B129" s="23"/>
      <c r="C129" s="24"/>
      <c r="D129" s="80" t="s">
        <v>22</v>
      </c>
      <c r="E129" s="25">
        <v>35600</v>
      </c>
      <c r="F129" s="110"/>
      <c r="G129" s="106"/>
    </row>
    <row r="130" spans="1:7" ht="19.5" thickBot="1" x14ac:dyDescent="0.45">
      <c r="B130" s="53"/>
      <c r="C130" s="22"/>
      <c r="D130" s="77"/>
      <c r="E130" s="54"/>
    </row>
    <row r="131" spans="1:7" x14ac:dyDescent="0.4">
      <c r="A131" s="8">
        <v>18</v>
      </c>
      <c r="B131" s="126" t="s">
        <v>434</v>
      </c>
      <c r="C131" s="125" t="s">
        <v>11</v>
      </c>
      <c r="D131" s="78" t="s">
        <v>18</v>
      </c>
      <c r="E131" s="20">
        <v>40400</v>
      </c>
      <c r="F131" s="108"/>
      <c r="G131" s="104"/>
    </row>
    <row r="132" spans="1:7" x14ac:dyDescent="0.4">
      <c r="B132" s="21"/>
      <c r="C132" s="22"/>
      <c r="D132" s="79" t="s">
        <v>19</v>
      </c>
      <c r="E132" s="9">
        <v>40400</v>
      </c>
      <c r="F132" s="109"/>
      <c r="G132" s="105"/>
    </row>
    <row r="133" spans="1:7" x14ac:dyDescent="0.4">
      <c r="B133" s="21" t="str">
        <f>"TOTAL PCS = " &amp; SUM(F131:F135)</f>
        <v>TOTAL PCS = 0</v>
      </c>
      <c r="C133" s="22"/>
      <c r="D133" s="79" t="s">
        <v>20</v>
      </c>
      <c r="E133" s="9">
        <v>38000</v>
      </c>
      <c r="F133" s="109"/>
      <c r="G133" s="105"/>
    </row>
    <row r="134" spans="1:7" x14ac:dyDescent="0.4">
      <c r="B134" s="21"/>
      <c r="C134" s="22"/>
      <c r="D134" s="79" t="s">
        <v>21</v>
      </c>
      <c r="E134" s="9">
        <v>40400</v>
      </c>
      <c r="F134" s="109"/>
      <c r="G134" s="105"/>
    </row>
    <row r="135" spans="1:7" ht="19.5" thickBot="1" x14ac:dyDescent="0.45">
      <c r="B135" s="23"/>
      <c r="C135" s="24"/>
      <c r="D135" s="80" t="s">
        <v>22</v>
      </c>
      <c r="E135" s="25">
        <v>38000</v>
      </c>
      <c r="F135" s="110"/>
      <c r="G135" s="106"/>
    </row>
    <row r="136" spans="1:7" ht="19.5" thickBot="1" x14ac:dyDescent="0.45">
      <c r="B136" s="53"/>
      <c r="C136" s="22"/>
      <c r="D136" s="77"/>
      <c r="E136" s="54"/>
    </row>
    <row r="137" spans="1:7" x14ac:dyDescent="0.4">
      <c r="A137" s="8">
        <v>19</v>
      </c>
      <c r="B137" s="126" t="s">
        <v>286</v>
      </c>
      <c r="C137" s="125" t="s">
        <v>24</v>
      </c>
      <c r="D137" s="78" t="s">
        <v>25</v>
      </c>
      <c r="E137" s="20">
        <v>12590</v>
      </c>
      <c r="F137" s="108">
        <f>SUM(G137)</f>
        <v>0</v>
      </c>
      <c r="G137" s="104">
        <v>0</v>
      </c>
    </row>
    <row r="138" spans="1:7" x14ac:dyDescent="0.4">
      <c r="B138" s="21"/>
      <c r="C138" s="22"/>
      <c r="D138" s="79" t="s">
        <v>27</v>
      </c>
      <c r="E138" s="9">
        <v>12590</v>
      </c>
      <c r="F138" s="109">
        <f>SUM(G138)</f>
        <v>0</v>
      </c>
      <c r="G138" s="105">
        <v>0</v>
      </c>
    </row>
    <row r="139" spans="1:7" x14ac:dyDescent="0.4">
      <c r="B139" s="21" t="str">
        <f>"TOTAL PCS = " &amp; SUM(F137:F142)</f>
        <v>TOTAL PCS = 0</v>
      </c>
      <c r="C139" s="22"/>
      <c r="D139" s="79" t="s">
        <v>7</v>
      </c>
      <c r="E139" s="9">
        <v>13890</v>
      </c>
      <c r="F139" s="109">
        <f t="shared" ref="F139:F142" si="13">SUM(G139)</f>
        <v>0</v>
      </c>
      <c r="G139" s="105">
        <v>0</v>
      </c>
    </row>
    <row r="140" spans="1:7" x14ac:dyDescent="0.4">
      <c r="B140" s="21"/>
      <c r="C140" s="22"/>
      <c r="D140" s="79" t="s">
        <v>26</v>
      </c>
      <c r="E140" s="9">
        <v>13890</v>
      </c>
      <c r="F140" s="109">
        <f t="shared" si="13"/>
        <v>0</v>
      </c>
      <c r="G140" s="105">
        <v>0</v>
      </c>
    </row>
    <row r="141" spans="1:7" x14ac:dyDescent="0.4">
      <c r="B141" s="21"/>
      <c r="C141" s="22"/>
      <c r="D141" s="79" t="s">
        <v>6</v>
      </c>
      <c r="E141" s="9">
        <v>13890</v>
      </c>
      <c r="F141" s="109">
        <f t="shared" si="13"/>
        <v>0</v>
      </c>
      <c r="G141" s="105">
        <v>0</v>
      </c>
    </row>
    <row r="142" spans="1:7" ht="19.5" thickBot="1" x14ac:dyDescent="0.45">
      <c r="B142" s="15"/>
      <c r="C142" s="16"/>
      <c r="D142" s="47" t="s">
        <v>28</v>
      </c>
      <c r="E142" s="17">
        <v>13890</v>
      </c>
      <c r="F142" s="110">
        <f t="shared" si="13"/>
        <v>0</v>
      </c>
      <c r="G142" s="106">
        <v>0</v>
      </c>
    </row>
    <row r="143" spans="1:7" ht="19.5" thickBot="1" x14ac:dyDescent="0.45">
      <c r="D143" s="48"/>
    </row>
    <row r="144" spans="1:7" x14ac:dyDescent="0.4">
      <c r="A144" s="8">
        <v>20</v>
      </c>
      <c r="B144" s="126" t="s">
        <v>287</v>
      </c>
      <c r="C144" s="125" t="s">
        <v>8</v>
      </c>
      <c r="D144" s="78" t="s">
        <v>25</v>
      </c>
      <c r="E144" s="20">
        <v>12990</v>
      </c>
      <c r="F144" s="108">
        <f>SUM(G144)</f>
        <v>2</v>
      </c>
      <c r="G144" s="104">
        <v>2</v>
      </c>
    </row>
    <row r="145" spans="1:7" x14ac:dyDescent="0.4">
      <c r="B145" s="21"/>
      <c r="C145" s="22"/>
      <c r="D145" s="79" t="s">
        <v>27</v>
      </c>
      <c r="E145" s="9">
        <v>12990</v>
      </c>
      <c r="F145" s="109">
        <f>SUM(G145)</f>
        <v>0</v>
      </c>
      <c r="G145" s="105">
        <v>0</v>
      </c>
    </row>
    <row r="146" spans="1:7" x14ac:dyDescent="0.4">
      <c r="B146" s="21" t="str">
        <f>"TOTAL PCS = " &amp; SUM(F144:F149)</f>
        <v>TOTAL PCS = 4</v>
      </c>
      <c r="C146" s="22"/>
      <c r="D146" s="79" t="s">
        <v>7</v>
      </c>
      <c r="E146" s="9">
        <v>14290</v>
      </c>
      <c r="F146" s="109">
        <f t="shared" ref="F146:F149" si="14">SUM(G146)</f>
        <v>0</v>
      </c>
      <c r="G146" s="105">
        <v>0</v>
      </c>
    </row>
    <row r="147" spans="1:7" x14ac:dyDescent="0.4">
      <c r="B147" s="21"/>
      <c r="C147" s="22"/>
      <c r="D147" s="79" t="s">
        <v>26</v>
      </c>
      <c r="E147" s="9">
        <v>14290</v>
      </c>
      <c r="F147" s="109">
        <f t="shared" si="14"/>
        <v>1</v>
      </c>
      <c r="G147" s="105">
        <v>1</v>
      </c>
    </row>
    <row r="148" spans="1:7" x14ac:dyDescent="0.4">
      <c r="B148" s="21"/>
      <c r="C148" s="22"/>
      <c r="D148" s="79" t="s">
        <v>6</v>
      </c>
      <c r="E148" s="9">
        <v>14290</v>
      </c>
      <c r="F148" s="109">
        <f t="shared" si="14"/>
        <v>1</v>
      </c>
      <c r="G148" s="105">
        <v>1</v>
      </c>
    </row>
    <row r="149" spans="1:7" ht="19.5" thickBot="1" x14ac:dyDescent="0.45">
      <c r="B149" s="15"/>
      <c r="C149" s="16"/>
      <c r="D149" s="47" t="s">
        <v>28</v>
      </c>
      <c r="E149" s="17">
        <v>14290</v>
      </c>
      <c r="F149" s="110">
        <f t="shared" si="14"/>
        <v>0</v>
      </c>
      <c r="G149" s="106">
        <v>0</v>
      </c>
    </row>
    <row r="150" spans="1:7" ht="19.5" thickBot="1" x14ac:dyDescent="0.45">
      <c r="D150" s="48"/>
    </row>
    <row r="151" spans="1:7" x14ac:dyDescent="0.4">
      <c r="A151" s="8">
        <v>21</v>
      </c>
      <c r="B151" s="33" t="s">
        <v>433</v>
      </c>
      <c r="C151" s="94" t="s">
        <v>29</v>
      </c>
      <c r="D151" s="78" t="s">
        <v>25</v>
      </c>
      <c r="E151" s="13">
        <v>16890</v>
      </c>
      <c r="F151" s="108">
        <f>SUM(G151)</f>
        <v>0</v>
      </c>
      <c r="G151" s="104">
        <v>0</v>
      </c>
    </row>
    <row r="152" spans="1:7" x14ac:dyDescent="0.4">
      <c r="B152" s="14"/>
      <c r="D152" s="79" t="s">
        <v>27</v>
      </c>
      <c r="E152" s="6">
        <v>16890</v>
      </c>
      <c r="F152" s="109">
        <f>SUM(G152)</f>
        <v>0</v>
      </c>
      <c r="G152" s="105">
        <v>0</v>
      </c>
    </row>
    <row r="153" spans="1:7" x14ac:dyDescent="0.4">
      <c r="B153" s="14" t="str">
        <f>"TOTAL PCS = " &amp; SUM(F151:F156)</f>
        <v>TOTAL PCS = 0</v>
      </c>
      <c r="D153" s="79" t="s">
        <v>7</v>
      </c>
      <c r="E153" s="6">
        <v>18090</v>
      </c>
      <c r="F153" s="109">
        <f t="shared" ref="F153:F156" si="15">SUM(G153)</f>
        <v>0</v>
      </c>
      <c r="G153" s="105">
        <v>0</v>
      </c>
    </row>
    <row r="154" spans="1:7" x14ac:dyDescent="0.4">
      <c r="B154" s="14"/>
      <c r="D154" s="79" t="s">
        <v>26</v>
      </c>
      <c r="E154" s="6">
        <v>18090</v>
      </c>
      <c r="F154" s="109">
        <f t="shared" si="15"/>
        <v>0</v>
      </c>
      <c r="G154" s="105">
        <v>0</v>
      </c>
    </row>
    <row r="155" spans="1:7" x14ac:dyDescent="0.4">
      <c r="B155" s="14"/>
      <c r="D155" s="79" t="s">
        <v>6</v>
      </c>
      <c r="E155" s="6">
        <v>18090</v>
      </c>
      <c r="F155" s="109">
        <f t="shared" si="15"/>
        <v>0</v>
      </c>
      <c r="G155" s="105">
        <v>0</v>
      </c>
    </row>
    <row r="156" spans="1:7" ht="19.5" thickBot="1" x14ac:dyDescent="0.45">
      <c r="B156" s="15"/>
      <c r="C156" s="16"/>
      <c r="D156" s="47" t="s">
        <v>28</v>
      </c>
      <c r="E156" s="17">
        <v>18090</v>
      </c>
      <c r="F156" s="110">
        <f t="shared" si="15"/>
        <v>0</v>
      </c>
      <c r="G156" s="106">
        <v>0</v>
      </c>
    </row>
    <row r="157" spans="1:7" ht="19.5" thickBot="1" x14ac:dyDescent="0.45">
      <c r="D157" s="48"/>
    </row>
    <row r="158" spans="1:7" x14ac:dyDescent="0.4">
      <c r="A158" s="8">
        <v>22</v>
      </c>
      <c r="B158" s="33" t="s">
        <v>432</v>
      </c>
      <c r="C158" s="94" t="s">
        <v>30</v>
      </c>
      <c r="D158" s="46" t="s">
        <v>32</v>
      </c>
      <c r="E158" s="13">
        <v>7790</v>
      </c>
      <c r="F158" s="108">
        <f>SUM(G158)</f>
        <v>1</v>
      </c>
      <c r="G158" s="104">
        <v>1</v>
      </c>
    </row>
    <row r="159" spans="1:7" x14ac:dyDescent="0.4">
      <c r="B159" s="14"/>
      <c r="D159" s="81" t="s">
        <v>33</v>
      </c>
      <c r="E159" s="11">
        <v>7790</v>
      </c>
      <c r="F159" s="109">
        <f>SUM(G159)</f>
        <v>0</v>
      </c>
      <c r="G159" s="105">
        <v>0</v>
      </c>
    </row>
    <row r="160" spans="1:7" x14ac:dyDescent="0.4">
      <c r="B160" s="14" t="str">
        <f>"TOTAL PCS = " &amp; SUM(F158:F162)</f>
        <v>TOTAL PCS = 4</v>
      </c>
      <c r="D160" s="76" t="s">
        <v>34</v>
      </c>
      <c r="E160" s="7">
        <v>7790</v>
      </c>
      <c r="F160" s="109">
        <f t="shared" ref="F160:F162" si="16">SUM(G160)</f>
        <v>0</v>
      </c>
      <c r="G160" s="107">
        <v>0</v>
      </c>
    </row>
    <row r="161" spans="1:8" x14ac:dyDescent="0.4">
      <c r="B161" s="14"/>
      <c r="D161" s="75" t="s">
        <v>294</v>
      </c>
      <c r="E161" s="6">
        <v>7790</v>
      </c>
      <c r="F161" s="109">
        <f t="shared" si="16"/>
        <v>1</v>
      </c>
      <c r="G161" s="105">
        <v>1</v>
      </c>
    </row>
    <row r="162" spans="1:8" ht="19.5" thickBot="1" x14ac:dyDescent="0.45">
      <c r="B162" s="15"/>
      <c r="C162" s="16"/>
      <c r="D162" s="47" t="s">
        <v>346</v>
      </c>
      <c r="E162" s="17">
        <v>7790</v>
      </c>
      <c r="F162" s="110">
        <f t="shared" si="16"/>
        <v>2</v>
      </c>
      <c r="G162" s="106">
        <v>2</v>
      </c>
    </row>
    <row r="163" spans="1:8" ht="19.5" thickBot="1" x14ac:dyDescent="0.45">
      <c r="D163" s="48"/>
    </row>
    <row r="164" spans="1:8" x14ac:dyDescent="0.4">
      <c r="A164" s="8">
        <v>23</v>
      </c>
      <c r="B164" s="33" t="s">
        <v>431</v>
      </c>
      <c r="C164" s="94" t="s">
        <v>31</v>
      </c>
      <c r="D164" s="46" t="s">
        <v>32</v>
      </c>
      <c r="E164" s="13">
        <v>9390</v>
      </c>
      <c r="F164" s="108">
        <f>SUM(G164)</f>
        <v>1</v>
      </c>
      <c r="G164" s="104">
        <v>1</v>
      </c>
    </row>
    <row r="165" spans="1:8" x14ac:dyDescent="0.4">
      <c r="B165" s="14"/>
      <c r="D165" s="81" t="s">
        <v>33</v>
      </c>
      <c r="E165" s="11">
        <v>9390</v>
      </c>
      <c r="F165" s="109">
        <f>SUM(G165)</f>
        <v>0</v>
      </c>
      <c r="G165" s="105">
        <v>0</v>
      </c>
    </row>
    <row r="166" spans="1:8" x14ac:dyDescent="0.4">
      <c r="B166" s="14" t="str">
        <f>"TOTAL PCS = " &amp; SUM(F164:F167)</f>
        <v>TOTAL PCS = 2</v>
      </c>
      <c r="D166" s="76" t="s">
        <v>34</v>
      </c>
      <c r="E166" s="7">
        <v>9390</v>
      </c>
      <c r="F166" s="109">
        <f t="shared" ref="F166:F167" si="17">SUM(G166)</f>
        <v>0</v>
      </c>
      <c r="G166" s="107">
        <v>0</v>
      </c>
    </row>
    <row r="167" spans="1:8" ht="19.5" thickBot="1" x14ac:dyDescent="0.45">
      <c r="B167" s="15"/>
      <c r="C167" s="16"/>
      <c r="D167" s="85" t="s">
        <v>347</v>
      </c>
      <c r="E167" s="17">
        <v>9390</v>
      </c>
      <c r="F167" s="110">
        <f t="shared" si="17"/>
        <v>1</v>
      </c>
      <c r="G167" s="106">
        <v>1</v>
      </c>
    </row>
    <row r="168" spans="1:8" ht="19.5" thickBot="1" x14ac:dyDescent="0.45">
      <c r="D168" s="48"/>
    </row>
    <row r="169" spans="1:8" x14ac:dyDescent="0.4">
      <c r="A169" s="8">
        <v>24</v>
      </c>
      <c r="B169" s="33" t="s">
        <v>430</v>
      </c>
      <c r="C169" s="94" t="s">
        <v>24</v>
      </c>
      <c r="D169" s="46" t="s">
        <v>32</v>
      </c>
      <c r="E169" s="13">
        <v>10390</v>
      </c>
      <c r="F169" s="108">
        <f>SUM(G169)</f>
        <v>0</v>
      </c>
      <c r="G169" s="104">
        <v>0</v>
      </c>
    </row>
    <row r="170" spans="1:8" x14ac:dyDescent="0.4">
      <c r="B170" s="14"/>
      <c r="D170" s="81" t="s">
        <v>33</v>
      </c>
      <c r="E170" s="11">
        <v>10390</v>
      </c>
      <c r="F170" s="109">
        <f>SUM(G170)</f>
        <v>0</v>
      </c>
      <c r="G170" s="105">
        <v>0</v>
      </c>
    </row>
    <row r="171" spans="1:8" x14ac:dyDescent="0.4">
      <c r="B171" s="14" t="str">
        <f>"TOTAL PCS = " &amp; SUM(F169:F172)</f>
        <v>TOTAL PCS = 3</v>
      </c>
      <c r="D171" s="76" t="s">
        <v>34</v>
      </c>
      <c r="E171" s="7">
        <v>10390</v>
      </c>
      <c r="F171" s="109">
        <f t="shared" ref="F171:F172" si="18">SUM(G171)</f>
        <v>0</v>
      </c>
      <c r="G171" s="107">
        <v>0</v>
      </c>
    </row>
    <row r="172" spans="1:8" ht="19.5" thickBot="1" x14ac:dyDescent="0.45">
      <c r="B172" s="15"/>
      <c r="C172" s="52"/>
      <c r="D172" s="85" t="s">
        <v>547</v>
      </c>
      <c r="E172" s="17">
        <v>10390</v>
      </c>
      <c r="F172" s="110">
        <f t="shared" si="18"/>
        <v>3</v>
      </c>
      <c r="G172" s="106">
        <v>3</v>
      </c>
      <c r="H172" t="s">
        <v>534</v>
      </c>
    </row>
    <row r="173" spans="1:8" ht="19.5" thickBot="1" x14ac:dyDescent="0.45">
      <c r="D173" s="48"/>
    </row>
    <row r="174" spans="1:8" ht="19.5" thickBot="1" x14ac:dyDescent="0.45">
      <c r="A174" s="8">
        <v>25</v>
      </c>
      <c r="B174" s="26" t="s">
        <v>542</v>
      </c>
      <c r="C174" s="27" t="s">
        <v>14</v>
      </c>
      <c r="D174" s="82" t="s">
        <v>264</v>
      </c>
      <c r="E174" s="28">
        <v>12590</v>
      </c>
      <c r="F174" s="119">
        <f>SUM(G174)</f>
        <v>1</v>
      </c>
      <c r="G174" s="111">
        <v>1</v>
      </c>
    </row>
    <row r="175" spans="1:8" ht="19.5" thickBot="1" x14ac:dyDescent="0.45">
      <c r="D175" s="48"/>
    </row>
    <row r="176" spans="1:8" ht="19.5" thickBot="1" x14ac:dyDescent="0.45">
      <c r="A176" s="8">
        <v>26</v>
      </c>
      <c r="B176" s="26" t="s">
        <v>429</v>
      </c>
      <c r="C176" s="27" t="s">
        <v>13</v>
      </c>
      <c r="D176" s="82" t="s">
        <v>32</v>
      </c>
      <c r="E176" s="28">
        <v>17590</v>
      </c>
      <c r="F176" s="119">
        <f>SUM(G176)</f>
        <v>1</v>
      </c>
      <c r="G176" s="111">
        <v>1</v>
      </c>
    </row>
    <row r="177" spans="1:8" ht="19.5" thickBot="1" x14ac:dyDescent="0.45">
      <c r="D177" s="48"/>
    </row>
    <row r="178" spans="1:8" ht="19.5" thickBot="1" x14ac:dyDescent="0.45">
      <c r="A178" s="8">
        <v>27</v>
      </c>
      <c r="B178" s="26" t="s">
        <v>541</v>
      </c>
      <c r="C178" s="27" t="s">
        <v>13</v>
      </c>
      <c r="D178" s="82" t="s">
        <v>32</v>
      </c>
      <c r="E178" s="28">
        <v>21890</v>
      </c>
      <c r="F178" s="119">
        <f>SUM(G178)</f>
        <v>0</v>
      </c>
      <c r="G178" s="111">
        <v>0</v>
      </c>
    </row>
    <row r="179" spans="1:8" ht="19.5" thickBot="1" x14ac:dyDescent="0.45">
      <c r="D179" s="48"/>
    </row>
    <row r="180" spans="1:8" x14ac:dyDescent="0.4">
      <c r="A180" s="8">
        <v>28</v>
      </c>
      <c r="B180" s="33" t="s">
        <v>288</v>
      </c>
      <c r="C180" s="97" t="s">
        <v>35</v>
      </c>
      <c r="D180" s="46" t="s">
        <v>293</v>
      </c>
      <c r="E180" s="13">
        <v>7190</v>
      </c>
      <c r="F180" s="108">
        <f>SUM(G180)</f>
        <v>2</v>
      </c>
      <c r="G180" s="104">
        <v>2</v>
      </c>
    </row>
    <row r="181" spans="1:8" x14ac:dyDescent="0.4">
      <c r="B181" s="14"/>
      <c r="D181" s="75" t="s">
        <v>294</v>
      </c>
      <c r="E181" s="6">
        <v>7190</v>
      </c>
      <c r="F181" s="109">
        <f>SUM(G181)</f>
        <v>0</v>
      </c>
      <c r="G181" s="105">
        <v>0</v>
      </c>
    </row>
    <row r="182" spans="1:8" x14ac:dyDescent="0.4">
      <c r="B182" s="14" t="str">
        <f>"TOTAL PCS = " &amp; SUM(F180:F187)</f>
        <v>TOTAL PCS = 12</v>
      </c>
      <c r="D182" s="75" t="s">
        <v>265</v>
      </c>
      <c r="E182" s="6">
        <v>7190</v>
      </c>
      <c r="F182" s="109">
        <f t="shared" ref="F182:F187" si="19">SUM(G182)</f>
        <v>1</v>
      </c>
      <c r="G182" s="105">
        <v>1</v>
      </c>
    </row>
    <row r="183" spans="1:8" x14ac:dyDescent="0.4">
      <c r="B183" s="14"/>
      <c r="D183" s="75" t="s">
        <v>342</v>
      </c>
      <c r="E183" s="6">
        <v>7190</v>
      </c>
      <c r="F183" s="109">
        <f t="shared" si="19"/>
        <v>3</v>
      </c>
      <c r="G183" s="105">
        <v>3</v>
      </c>
    </row>
    <row r="184" spans="1:8" x14ac:dyDescent="0.4">
      <c r="B184" s="14"/>
      <c r="D184" s="75" t="s">
        <v>295</v>
      </c>
      <c r="E184" s="6">
        <v>7190</v>
      </c>
      <c r="F184" s="109">
        <f t="shared" si="19"/>
        <v>1</v>
      </c>
      <c r="G184" s="105">
        <v>1</v>
      </c>
      <c r="H184" t="s">
        <v>533</v>
      </c>
    </row>
    <row r="185" spans="1:8" x14ac:dyDescent="0.4">
      <c r="B185" s="14"/>
      <c r="D185" s="75" t="s">
        <v>9</v>
      </c>
      <c r="E185" s="6">
        <v>8790</v>
      </c>
      <c r="F185" s="109">
        <f t="shared" si="19"/>
        <v>1</v>
      </c>
      <c r="G185" s="105">
        <v>1</v>
      </c>
      <c r="H185" t="s">
        <v>533</v>
      </c>
    </row>
    <row r="186" spans="1:8" x14ac:dyDescent="0.4">
      <c r="B186" s="14"/>
      <c r="D186" s="75" t="s">
        <v>343</v>
      </c>
      <c r="E186" s="6">
        <v>8790</v>
      </c>
      <c r="F186" s="109">
        <f t="shared" si="19"/>
        <v>2</v>
      </c>
      <c r="G186" s="105">
        <v>2</v>
      </c>
    </row>
    <row r="187" spans="1:8" ht="19.5" thickBot="1" x14ac:dyDescent="0.45">
      <c r="B187" s="15"/>
      <c r="C187" s="16"/>
      <c r="D187" s="47" t="s">
        <v>32</v>
      </c>
      <c r="E187" s="17">
        <v>9190</v>
      </c>
      <c r="F187" s="110">
        <f t="shared" si="19"/>
        <v>2</v>
      </c>
      <c r="G187" s="106">
        <v>2</v>
      </c>
    </row>
    <row r="188" spans="1:8" ht="19.5" thickBot="1" x14ac:dyDescent="0.45">
      <c r="D188" s="48"/>
    </row>
    <row r="189" spans="1:8" x14ac:dyDescent="0.4">
      <c r="A189" s="8">
        <v>29</v>
      </c>
      <c r="B189" s="33" t="s">
        <v>289</v>
      </c>
      <c r="C189" s="97" t="s">
        <v>36</v>
      </c>
      <c r="D189" s="46" t="s">
        <v>293</v>
      </c>
      <c r="E189" s="13">
        <v>7790</v>
      </c>
      <c r="F189" s="108">
        <f>SUM(G189)</f>
        <v>2</v>
      </c>
      <c r="G189" s="104">
        <v>2</v>
      </c>
    </row>
    <row r="190" spans="1:8" x14ac:dyDescent="0.4">
      <c r="B190" s="14"/>
      <c r="D190" s="75" t="s">
        <v>294</v>
      </c>
      <c r="E190" s="6">
        <v>7790</v>
      </c>
      <c r="F190" s="109">
        <f>SUM(G190)</f>
        <v>5</v>
      </c>
      <c r="G190" s="105">
        <v>5</v>
      </c>
    </row>
    <row r="191" spans="1:8" x14ac:dyDescent="0.4">
      <c r="B191" s="14" t="str">
        <f>"TOTAL PCS = " &amp; SUM(F189:F196)</f>
        <v>TOTAL PCS = 15</v>
      </c>
      <c r="D191" s="75" t="s">
        <v>265</v>
      </c>
      <c r="E191" s="6">
        <v>7790</v>
      </c>
      <c r="F191" s="109">
        <f t="shared" ref="F191:F196" si="20">SUM(G191)</f>
        <v>1</v>
      </c>
      <c r="G191" s="105">
        <v>1</v>
      </c>
    </row>
    <row r="192" spans="1:8" x14ac:dyDescent="0.4">
      <c r="B192" s="14"/>
      <c r="D192" s="75" t="s">
        <v>342</v>
      </c>
      <c r="E192" s="6">
        <v>7790</v>
      </c>
      <c r="F192" s="109">
        <f t="shared" si="20"/>
        <v>1</v>
      </c>
      <c r="G192" s="105">
        <v>1</v>
      </c>
    </row>
    <row r="193" spans="1:8" x14ac:dyDescent="0.4">
      <c r="B193" s="14"/>
      <c r="D193" s="75" t="s">
        <v>295</v>
      </c>
      <c r="E193" s="6">
        <v>7790</v>
      </c>
      <c r="F193" s="109">
        <f t="shared" si="20"/>
        <v>2</v>
      </c>
      <c r="G193" s="105">
        <v>2</v>
      </c>
    </row>
    <row r="194" spans="1:8" x14ac:dyDescent="0.4">
      <c r="B194" s="14"/>
      <c r="D194" s="75" t="s">
        <v>9</v>
      </c>
      <c r="E194" s="11">
        <v>8390</v>
      </c>
      <c r="F194" s="109">
        <f t="shared" si="20"/>
        <v>2</v>
      </c>
      <c r="G194" s="105">
        <v>2</v>
      </c>
    </row>
    <row r="195" spans="1:8" x14ac:dyDescent="0.4">
      <c r="B195" s="14"/>
      <c r="D195" s="75" t="s">
        <v>343</v>
      </c>
      <c r="E195" s="11">
        <v>8390</v>
      </c>
      <c r="F195" s="109">
        <f t="shared" si="20"/>
        <v>2</v>
      </c>
      <c r="G195" s="105">
        <v>2</v>
      </c>
    </row>
    <row r="196" spans="1:8" ht="19.5" thickBot="1" x14ac:dyDescent="0.45">
      <c r="B196" s="15"/>
      <c r="C196" s="16"/>
      <c r="D196" s="47" t="s">
        <v>32</v>
      </c>
      <c r="E196" s="17">
        <v>8790</v>
      </c>
      <c r="F196" s="110">
        <f t="shared" si="20"/>
        <v>0</v>
      </c>
      <c r="G196" s="106">
        <v>0</v>
      </c>
    </row>
    <row r="197" spans="1:8" ht="19.5" thickBot="1" x14ac:dyDescent="0.45">
      <c r="D197" s="48"/>
    </row>
    <row r="198" spans="1:8" x14ac:dyDescent="0.4">
      <c r="A198" s="8">
        <v>30</v>
      </c>
      <c r="B198" s="33" t="s">
        <v>290</v>
      </c>
      <c r="C198" s="94" t="s">
        <v>24</v>
      </c>
      <c r="D198" s="83" t="s">
        <v>293</v>
      </c>
      <c r="E198" s="13">
        <v>8990</v>
      </c>
      <c r="F198" s="108">
        <f>SUM(G198)</f>
        <v>1</v>
      </c>
      <c r="G198" s="104">
        <v>1</v>
      </c>
    </row>
    <row r="199" spans="1:8" x14ac:dyDescent="0.4">
      <c r="B199" s="14"/>
      <c r="D199" s="75" t="s">
        <v>294</v>
      </c>
      <c r="E199" s="6">
        <v>8990</v>
      </c>
      <c r="F199" s="109">
        <f>SUM(G199)</f>
        <v>2</v>
      </c>
      <c r="G199" s="105">
        <v>2</v>
      </c>
    </row>
    <row r="200" spans="1:8" x14ac:dyDescent="0.4">
      <c r="B200" s="14" t="str">
        <f>"TOTAL PCS = " &amp; SUM(F198:F205)</f>
        <v>TOTAL PCS = 21</v>
      </c>
      <c r="D200" s="75" t="s">
        <v>265</v>
      </c>
      <c r="E200" s="6">
        <v>8990</v>
      </c>
      <c r="F200" s="109">
        <f t="shared" ref="F200:F205" si="21">SUM(G200)</f>
        <v>1</v>
      </c>
      <c r="G200" s="105">
        <v>1</v>
      </c>
    </row>
    <row r="201" spans="1:8" x14ac:dyDescent="0.4">
      <c r="B201" s="14"/>
      <c r="D201" s="75" t="s">
        <v>342</v>
      </c>
      <c r="E201" s="6">
        <v>8990</v>
      </c>
      <c r="F201" s="109">
        <f t="shared" si="21"/>
        <v>10</v>
      </c>
      <c r="G201" s="105">
        <v>10</v>
      </c>
    </row>
    <row r="202" spans="1:8" x14ac:dyDescent="0.4">
      <c r="B202" s="14"/>
      <c r="D202" s="75" t="s">
        <v>295</v>
      </c>
      <c r="E202" s="6">
        <v>8990</v>
      </c>
      <c r="F202" s="109">
        <f t="shared" si="21"/>
        <v>2</v>
      </c>
      <c r="G202" s="105">
        <v>2</v>
      </c>
      <c r="H202" t="s">
        <v>533</v>
      </c>
    </row>
    <row r="203" spans="1:8" x14ac:dyDescent="0.4">
      <c r="B203" s="14"/>
      <c r="D203" s="75" t="s">
        <v>9</v>
      </c>
      <c r="E203" s="11">
        <v>10990</v>
      </c>
      <c r="F203" s="109">
        <f t="shared" si="21"/>
        <v>1</v>
      </c>
      <c r="G203" s="105">
        <v>1</v>
      </c>
    </row>
    <row r="204" spans="1:8" x14ac:dyDescent="0.4">
      <c r="B204" s="14"/>
      <c r="D204" s="75" t="s">
        <v>343</v>
      </c>
      <c r="E204" s="11">
        <v>10990</v>
      </c>
      <c r="F204" s="109">
        <f t="shared" si="21"/>
        <v>2</v>
      </c>
      <c r="G204" s="105">
        <v>2</v>
      </c>
    </row>
    <row r="205" spans="1:8" ht="19.5" thickBot="1" x14ac:dyDescent="0.45">
      <c r="B205" s="15"/>
      <c r="C205" s="16"/>
      <c r="D205" s="47" t="s">
        <v>32</v>
      </c>
      <c r="E205" s="17">
        <v>11490</v>
      </c>
      <c r="F205" s="110">
        <f t="shared" si="21"/>
        <v>2</v>
      </c>
      <c r="G205" s="106">
        <v>2</v>
      </c>
    </row>
    <row r="206" spans="1:8" ht="19.5" thickBot="1" x14ac:dyDescent="0.45">
      <c r="D206" s="48"/>
    </row>
    <row r="207" spans="1:8" x14ac:dyDescent="0.4">
      <c r="A207" s="8">
        <v>31</v>
      </c>
      <c r="B207" s="33" t="s">
        <v>291</v>
      </c>
      <c r="C207" s="94" t="s">
        <v>8</v>
      </c>
      <c r="D207" s="83" t="s">
        <v>293</v>
      </c>
      <c r="E207" s="13">
        <v>9390</v>
      </c>
      <c r="F207" s="108">
        <f>SUM(G207)</f>
        <v>4</v>
      </c>
      <c r="G207" s="104">
        <v>4</v>
      </c>
    </row>
    <row r="208" spans="1:8" x14ac:dyDescent="0.4">
      <c r="B208" s="14"/>
      <c r="D208" s="75" t="s">
        <v>294</v>
      </c>
      <c r="E208" s="6">
        <v>9390</v>
      </c>
      <c r="F208" s="109">
        <f>SUM(G208)</f>
        <v>1</v>
      </c>
      <c r="G208" s="105">
        <v>1</v>
      </c>
    </row>
    <row r="209" spans="1:7" x14ac:dyDescent="0.4">
      <c r="B209" s="14" t="str">
        <f>"TOTAL PCS = " &amp; SUM(F207:F214)</f>
        <v>TOTAL PCS = 18</v>
      </c>
      <c r="D209" s="75" t="s">
        <v>265</v>
      </c>
      <c r="E209" s="6">
        <v>9390</v>
      </c>
      <c r="F209" s="109">
        <f t="shared" ref="F209:F214" si="22">SUM(G209)</f>
        <v>2</v>
      </c>
      <c r="G209" s="105">
        <v>2</v>
      </c>
    </row>
    <row r="210" spans="1:7" x14ac:dyDescent="0.4">
      <c r="B210" s="14"/>
      <c r="D210" s="75" t="s">
        <v>342</v>
      </c>
      <c r="E210" s="6">
        <v>9390</v>
      </c>
      <c r="F210" s="109">
        <f t="shared" si="22"/>
        <v>1</v>
      </c>
      <c r="G210" s="105">
        <v>1</v>
      </c>
    </row>
    <row r="211" spans="1:7" x14ac:dyDescent="0.4">
      <c r="B211" s="14"/>
      <c r="D211" s="75" t="s">
        <v>295</v>
      </c>
      <c r="E211" s="6">
        <v>9390</v>
      </c>
      <c r="F211" s="109">
        <f t="shared" si="22"/>
        <v>0</v>
      </c>
      <c r="G211" s="105">
        <v>0</v>
      </c>
    </row>
    <row r="212" spans="1:7" x14ac:dyDescent="0.4">
      <c r="B212" s="14"/>
      <c r="D212" s="75" t="s">
        <v>9</v>
      </c>
      <c r="E212" s="11">
        <v>11490</v>
      </c>
      <c r="F212" s="109">
        <f t="shared" si="22"/>
        <v>4</v>
      </c>
      <c r="G212" s="105">
        <v>4</v>
      </c>
    </row>
    <row r="213" spans="1:7" x14ac:dyDescent="0.4">
      <c r="B213" s="14"/>
      <c r="D213" s="75" t="s">
        <v>343</v>
      </c>
      <c r="E213" s="11">
        <v>11490</v>
      </c>
      <c r="F213" s="109">
        <f t="shared" si="22"/>
        <v>3</v>
      </c>
      <c r="G213" s="105">
        <v>3</v>
      </c>
    </row>
    <row r="214" spans="1:7" ht="19.5" thickBot="1" x14ac:dyDescent="0.45">
      <c r="B214" s="15"/>
      <c r="C214" s="16"/>
      <c r="D214" s="47" t="s">
        <v>32</v>
      </c>
      <c r="E214" s="17">
        <v>11990</v>
      </c>
      <c r="F214" s="110">
        <f t="shared" si="22"/>
        <v>3</v>
      </c>
      <c r="G214" s="106">
        <v>3</v>
      </c>
    </row>
    <row r="215" spans="1:7" ht="19.5" thickBot="1" x14ac:dyDescent="0.45">
      <c r="D215" s="48"/>
    </row>
    <row r="216" spans="1:7" x14ac:dyDescent="0.4">
      <c r="A216" s="8">
        <v>32</v>
      </c>
      <c r="B216" s="33" t="s">
        <v>292</v>
      </c>
      <c r="C216" s="94" t="s">
        <v>37</v>
      </c>
      <c r="D216" s="83" t="s">
        <v>293</v>
      </c>
      <c r="E216" s="13">
        <v>8190</v>
      </c>
      <c r="F216" s="108">
        <f>SUM(G216)</f>
        <v>0</v>
      </c>
      <c r="G216" s="104">
        <v>0</v>
      </c>
    </row>
    <row r="217" spans="1:7" x14ac:dyDescent="0.4">
      <c r="B217" s="14"/>
      <c r="D217" s="75" t="s">
        <v>294</v>
      </c>
      <c r="E217" s="6">
        <v>8190</v>
      </c>
      <c r="F217" s="109">
        <f>SUM(G217)</f>
        <v>0</v>
      </c>
      <c r="G217" s="105">
        <v>0</v>
      </c>
    </row>
    <row r="218" spans="1:7" x14ac:dyDescent="0.4">
      <c r="B218" s="14" t="str">
        <f>"TOTAL PCS = " &amp; SUM(F216:F223)</f>
        <v>TOTAL PCS = 6</v>
      </c>
      <c r="D218" s="75" t="s">
        <v>265</v>
      </c>
      <c r="E218" s="6">
        <v>8190</v>
      </c>
      <c r="F218" s="109">
        <f t="shared" ref="F218:F223" si="23">SUM(G218)</f>
        <v>1</v>
      </c>
      <c r="G218" s="105">
        <v>1</v>
      </c>
    </row>
    <row r="219" spans="1:7" x14ac:dyDescent="0.4">
      <c r="B219" s="14"/>
      <c r="D219" s="75" t="s">
        <v>342</v>
      </c>
      <c r="E219" s="6">
        <v>8190</v>
      </c>
      <c r="F219" s="109">
        <f t="shared" si="23"/>
        <v>0</v>
      </c>
      <c r="G219" s="105">
        <v>0</v>
      </c>
    </row>
    <row r="220" spans="1:7" x14ac:dyDescent="0.4">
      <c r="B220" s="14"/>
      <c r="D220" s="75" t="s">
        <v>295</v>
      </c>
      <c r="E220" s="6">
        <v>8190</v>
      </c>
      <c r="F220" s="109">
        <f t="shared" si="23"/>
        <v>1</v>
      </c>
      <c r="G220" s="105">
        <v>1</v>
      </c>
    </row>
    <row r="221" spans="1:7" x14ac:dyDescent="0.4">
      <c r="B221" s="14"/>
      <c r="D221" s="75" t="s">
        <v>9</v>
      </c>
      <c r="E221" s="11">
        <v>8990</v>
      </c>
      <c r="F221" s="109">
        <f t="shared" si="23"/>
        <v>1</v>
      </c>
      <c r="G221" s="105">
        <v>1</v>
      </c>
    </row>
    <row r="222" spans="1:7" x14ac:dyDescent="0.4">
      <c r="B222" s="14"/>
      <c r="D222" s="75" t="s">
        <v>343</v>
      </c>
      <c r="E222" s="11">
        <v>8990</v>
      </c>
      <c r="F222" s="109">
        <f t="shared" si="23"/>
        <v>1</v>
      </c>
      <c r="G222" s="105">
        <v>1</v>
      </c>
    </row>
    <row r="223" spans="1:7" ht="19.5" thickBot="1" x14ac:dyDescent="0.45">
      <c r="B223" s="15"/>
      <c r="C223" s="16"/>
      <c r="D223" s="47" t="s">
        <v>32</v>
      </c>
      <c r="E223" s="17">
        <v>9390</v>
      </c>
      <c r="F223" s="110">
        <f t="shared" si="23"/>
        <v>2</v>
      </c>
      <c r="G223" s="106">
        <v>2</v>
      </c>
    </row>
    <row r="224" spans="1:7" ht="19.5" thickBot="1" x14ac:dyDescent="0.45">
      <c r="D224" s="48"/>
    </row>
    <row r="225" spans="1:8" x14ac:dyDescent="0.4">
      <c r="A225" s="8">
        <v>33</v>
      </c>
      <c r="B225" s="33" t="s">
        <v>575</v>
      </c>
      <c r="C225" s="94" t="s">
        <v>23</v>
      </c>
      <c r="D225" s="83" t="s">
        <v>293</v>
      </c>
      <c r="E225" s="13">
        <v>9890</v>
      </c>
      <c r="F225" s="108">
        <f>SUM(G225)</f>
        <v>3</v>
      </c>
      <c r="G225" s="104">
        <v>3</v>
      </c>
    </row>
    <row r="226" spans="1:8" x14ac:dyDescent="0.4">
      <c r="B226" s="14"/>
      <c r="C226" s="62"/>
      <c r="D226" s="84" t="s">
        <v>294</v>
      </c>
      <c r="E226" s="6">
        <v>9890</v>
      </c>
      <c r="F226" s="109">
        <f>SUM(G226)</f>
        <v>1</v>
      </c>
      <c r="G226" s="105">
        <v>1</v>
      </c>
    </row>
    <row r="227" spans="1:8" x14ac:dyDescent="0.4">
      <c r="B227" s="14" t="str">
        <f>"TOTAL PCS = " &amp; SUM(F225:F233)</f>
        <v>TOTAL PCS = 18</v>
      </c>
      <c r="C227" s="51"/>
      <c r="D227" s="84" t="s">
        <v>265</v>
      </c>
      <c r="E227" s="6">
        <v>9890</v>
      </c>
      <c r="F227" s="109">
        <f t="shared" ref="F227:F233" si="24">SUM(G227)</f>
        <v>1</v>
      </c>
      <c r="G227" s="105">
        <v>1</v>
      </c>
    </row>
    <row r="228" spans="1:8" x14ac:dyDescent="0.4">
      <c r="B228" s="14"/>
      <c r="C228" s="51"/>
      <c r="D228" s="84" t="s">
        <v>342</v>
      </c>
      <c r="E228" s="6">
        <v>9890</v>
      </c>
      <c r="F228" s="109">
        <f t="shared" si="24"/>
        <v>2</v>
      </c>
      <c r="G228" s="105">
        <v>2</v>
      </c>
    </row>
    <row r="229" spans="1:8" x14ac:dyDescent="0.4">
      <c r="B229" s="14"/>
      <c r="C229" s="51"/>
      <c r="D229" s="84" t="s">
        <v>295</v>
      </c>
      <c r="E229" s="6">
        <v>9890</v>
      </c>
      <c r="F229" s="109">
        <f t="shared" si="24"/>
        <v>2</v>
      </c>
      <c r="G229" s="105">
        <v>2</v>
      </c>
      <c r="H229" t="s">
        <v>533</v>
      </c>
    </row>
    <row r="230" spans="1:8" x14ac:dyDescent="0.4">
      <c r="B230" s="14"/>
      <c r="C230" s="51"/>
      <c r="D230" s="84" t="s">
        <v>9</v>
      </c>
      <c r="E230" s="11">
        <v>11890</v>
      </c>
      <c r="F230" s="109">
        <f t="shared" si="24"/>
        <v>1</v>
      </c>
      <c r="G230" s="105">
        <v>1</v>
      </c>
    </row>
    <row r="231" spans="1:8" x14ac:dyDescent="0.4">
      <c r="B231" s="14"/>
      <c r="C231" s="51"/>
      <c r="D231" s="84" t="s">
        <v>343</v>
      </c>
      <c r="E231" s="11">
        <v>11890</v>
      </c>
      <c r="F231" s="109">
        <f t="shared" si="24"/>
        <v>2</v>
      </c>
      <c r="G231" s="105">
        <v>2</v>
      </c>
    </row>
    <row r="232" spans="1:8" x14ac:dyDescent="0.4">
      <c r="B232" s="14"/>
      <c r="C232" s="51"/>
      <c r="D232" s="75" t="s">
        <v>264</v>
      </c>
      <c r="E232" s="6">
        <v>12390</v>
      </c>
      <c r="F232" s="109">
        <f t="shared" si="24"/>
        <v>4</v>
      </c>
      <c r="G232" s="105">
        <v>4</v>
      </c>
      <c r="H232" t="s">
        <v>531</v>
      </c>
    </row>
    <row r="233" spans="1:8" ht="19.5" thickBot="1" x14ac:dyDescent="0.45">
      <c r="B233" s="15"/>
      <c r="C233" s="16"/>
      <c r="D233" s="47" t="s">
        <v>345</v>
      </c>
      <c r="E233" s="17">
        <v>15390</v>
      </c>
      <c r="F233" s="110">
        <f t="shared" si="24"/>
        <v>2</v>
      </c>
      <c r="G233" s="106">
        <v>2</v>
      </c>
      <c r="H233" t="s">
        <v>534</v>
      </c>
    </row>
    <row r="234" spans="1:8" ht="19.5" thickBot="1" x14ac:dyDescent="0.45">
      <c r="D234" s="48"/>
    </row>
    <row r="235" spans="1:8" x14ac:dyDescent="0.4">
      <c r="A235" s="8">
        <v>34</v>
      </c>
      <c r="B235" s="33" t="s">
        <v>574</v>
      </c>
      <c r="C235" s="94" t="s">
        <v>10</v>
      </c>
      <c r="D235" s="83" t="s">
        <v>293</v>
      </c>
      <c r="E235" s="13">
        <v>13390</v>
      </c>
      <c r="F235" s="108">
        <f>SUM(G235)</f>
        <v>1</v>
      </c>
      <c r="G235" s="104">
        <v>1</v>
      </c>
    </row>
    <row r="236" spans="1:8" x14ac:dyDescent="0.4">
      <c r="B236" s="14"/>
      <c r="C236" s="62"/>
      <c r="D236" s="84" t="s">
        <v>294</v>
      </c>
      <c r="E236" s="6">
        <v>13390</v>
      </c>
      <c r="F236" s="109">
        <f>SUM(G236)</f>
        <v>1</v>
      </c>
      <c r="G236" s="105">
        <v>1</v>
      </c>
    </row>
    <row r="237" spans="1:8" x14ac:dyDescent="0.4">
      <c r="B237" s="14" t="str">
        <f>"TOTAL PCS = " &amp; SUM(F235:F244)</f>
        <v>TOTAL PCS = 16</v>
      </c>
      <c r="C237" s="51"/>
      <c r="D237" s="84" t="s">
        <v>265</v>
      </c>
      <c r="E237" s="6">
        <v>13390</v>
      </c>
      <c r="F237" s="109">
        <f t="shared" ref="F237:F244" si="25">SUM(G237)</f>
        <v>2</v>
      </c>
      <c r="G237" s="105">
        <v>2</v>
      </c>
    </row>
    <row r="238" spans="1:8" x14ac:dyDescent="0.4">
      <c r="B238" s="14"/>
      <c r="C238" s="51"/>
      <c r="D238" s="84" t="s">
        <v>342</v>
      </c>
      <c r="E238" s="6">
        <v>13390</v>
      </c>
      <c r="F238" s="109">
        <f t="shared" si="25"/>
        <v>1</v>
      </c>
      <c r="G238" s="105">
        <v>1</v>
      </c>
    </row>
    <row r="239" spans="1:8" x14ac:dyDescent="0.4">
      <c r="B239" s="14"/>
      <c r="C239" s="51"/>
      <c r="D239" s="84" t="s">
        <v>295</v>
      </c>
      <c r="E239" s="6">
        <v>13390</v>
      </c>
      <c r="F239" s="109">
        <f t="shared" si="25"/>
        <v>1</v>
      </c>
      <c r="G239" s="105">
        <v>1</v>
      </c>
    </row>
    <row r="240" spans="1:8" x14ac:dyDescent="0.4">
      <c r="B240" s="14"/>
      <c r="C240" s="51"/>
      <c r="D240" s="84" t="s">
        <v>9</v>
      </c>
      <c r="E240" s="11">
        <v>14090</v>
      </c>
      <c r="F240" s="109">
        <f t="shared" si="25"/>
        <v>2</v>
      </c>
      <c r="G240" s="105">
        <v>2</v>
      </c>
    </row>
    <row r="241" spans="1:8" x14ac:dyDescent="0.4">
      <c r="B241" s="14"/>
      <c r="C241" s="51"/>
      <c r="D241" s="84" t="s">
        <v>343</v>
      </c>
      <c r="E241" s="11">
        <v>14090</v>
      </c>
      <c r="F241" s="109">
        <f t="shared" si="25"/>
        <v>1</v>
      </c>
      <c r="G241" s="105">
        <v>1</v>
      </c>
    </row>
    <row r="242" spans="1:8" x14ac:dyDescent="0.4">
      <c r="B242" s="14"/>
      <c r="C242" s="51"/>
      <c r="D242" s="86" t="s">
        <v>264</v>
      </c>
      <c r="E242" s="7">
        <v>14490</v>
      </c>
      <c r="F242" s="109">
        <f t="shared" si="25"/>
        <v>4</v>
      </c>
      <c r="G242" s="107">
        <v>4</v>
      </c>
    </row>
    <row r="243" spans="1:8" x14ac:dyDescent="0.4">
      <c r="B243" s="14"/>
      <c r="C243" s="51"/>
      <c r="D243" s="84" t="s">
        <v>344</v>
      </c>
      <c r="E243" s="6">
        <v>17490</v>
      </c>
      <c r="F243" s="109">
        <f t="shared" si="25"/>
        <v>2</v>
      </c>
      <c r="G243" s="105">
        <v>2</v>
      </c>
    </row>
    <row r="244" spans="1:8" ht="19.5" thickBot="1" x14ac:dyDescent="0.45">
      <c r="B244" s="15"/>
      <c r="C244" s="52"/>
      <c r="D244" s="47" t="s">
        <v>33</v>
      </c>
      <c r="E244" s="17"/>
      <c r="F244" s="110">
        <f t="shared" si="25"/>
        <v>1</v>
      </c>
      <c r="G244" s="106">
        <v>1</v>
      </c>
    </row>
    <row r="245" spans="1:8" ht="19.5" thickBot="1" x14ac:dyDescent="0.45">
      <c r="C245" s="51"/>
      <c r="D245" s="48"/>
    </row>
    <row r="246" spans="1:8" x14ac:dyDescent="0.4">
      <c r="A246" s="8">
        <v>35</v>
      </c>
      <c r="B246" s="33" t="s">
        <v>576</v>
      </c>
      <c r="C246" s="94" t="s">
        <v>11</v>
      </c>
      <c r="D246" s="83" t="s">
        <v>293</v>
      </c>
      <c r="E246" s="13">
        <v>15090</v>
      </c>
      <c r="F246" s="108">
        <f>SUM(G246)</f>
        <v>4</v>
      </c>
      <c r="G246" s="104">
        <v>4</v>
      </c>
    </row>
    <row r="247" spans="1:8" x14ac:dyDescent="0.4">
      <c r="B247" s="14"/>
      <c r="C247" s="62"/>
      <c r="D247" s="84" t="s">
        <v>294</v>
      </c>
      <c r="E247" s="6">
        <v>15090</v>
      </c>
      <c r="F247" s="109">
        <f>SUM(G247)</f>
        <v>1</v>
      </c>
      <c r="G247" s="105">
        <v>1</v>
      </c>
    </row>
    <row r="248" spans="1:8" x14ac:dyDescent="0.4">
      <c r="B248" s="14" t="str">
        <f>"TOTAL PCS = " &amp; SUM(F246:F255)</f>
        <v>TOTAL PCS = 20</v>
      </c>
      <c r="C248" s="51"/>
      <c r="D248" s="84" t="s">
        <v>265</v>
      </c>
      <c r="E248" s="6">
        <v>15090</v>
      </c>
      <c r="F248" s="109">
        <f t="shared" ref="F248:F255" si="26">SUM(G248)</f>
        <v>1</v>
      </c>
      <c r="G248" s="105">
        <v>1</v>
      </c>
    </row>
    <row r="249" spans="1:8" x14ac:dyDescent="0.4">
      <c r="B249" s="14"/>
      <c r="C249" s="51"/>
      <c r="D249" s="84" t="s">
        <v>342</v>
      </c>
      <c r="E249" s="6">
        <v>15090</v>
      </c>
      <c r="F249" s="109">
        <f t="shared" si="26"/>
        <v>1</v>
      </c>
      <c r="G249" s="105">
        <v>1</v>
      </c>
    </row>
    <row r="250" spans="1:8" x14ac:dyDescent="0.4">
      <c r="B250" s="14"/>
      <c r="C250" s="51"/>
      <c r="D250" s="84" t="s">
        <v>295</v>
      </c>
      <c r="E250" s="6">
        <v>15090</v>
      </c>
      <c r="F250" s="109">
        <f t="shared" si="26"/>
        <v>1</v>
      </c>
      <c r="G250" s="105">
        <v>1</v>
      </c>
    </row>
    <row r="251" spans="1:8" x14ac:dyDescent="0.4">
      <c r="B251" s="14"/>
      <c r="C251" s="51"/>
      <c r="D251" s="84" t="s">
        <v>9</v>
      </c>
      <c r="E251" s="11">
        <v>16690</v>
      </c>
      <c r="F251" s="109">
        <f t="shared" si="26"/>
        <v>2</v>
      </c>
      <c r="G251" s="105">
        <v>2</v>
      </c>
    </row>
    <row r="252" spans="1:8" x14ac:dyDescent="0.4">
      <c r="B252" s="14"/>
      <c r="C252" s="51"/>
      <c r="D252" s="84" t="s">
        <v>343</v>
      </c>
      <c r="E252" s="11">
        <v>16690</v>
      </c>
      <c r="F252" s="109">
        <f t="shared" si="26"/>
        <v>1</v>
      </c>
      <c r="G252" s="105">
        <v>1</v>
      </c>
    </row>
    <row r="253" spans="1:8" x14ac:dyDescent="0.4">
      <c r="B253" s="14"/>
      <c r="C253" s="51"/>
      <c r="D253" s="86" t="s">
        <v>32</v>
      </c>
      <c r="E253" s="7">
        <v>17190</v>
      </c>
      <c r="F253" s="109">
        <f t="shared" si="26"/>
        <v>1</v>
      </c>
      <c r="G253" s="105">
        <v>1</v>
      </c>
      <c r="H253" t="s">
        <v>533</v>
      </c>
    </row>
    <row r="254" spans="1:8" x14ac:dyDescent="0.4">
      <c r="B254" s="14"/>
      <c r="D254" s="76" t="s">
        <v>546</v>
      </c>
      <c r="E254" s="7">
        <v>15090</v>
      </c>
      <c r="F254" s="109">
        <f t="shared" si="26"/>
        <v>1</v>
      </c>
      <c r="G254" s="107">
        <v>1</v>
      </c>
    </row>
    <row r="255" spans="1:8" ht="19.5" thickBot="1" x14ac:dyDescent="0.45">
      <c r="B255" s="15"/>
      <c r="C255" s="52"/>
      <c r="D255" s="85" t="s">
        <v>47</v>
      </c>
      <c r="E255" s="17">
        <v>20190</v>
      </c>
      <c r="F255" s="110">
        <f t="shared" si="26"/>
        <v>7</v>
      </c>
      <c r="G255" s="106">
        <v>7</v>
      </c>
    </row>
    <row r="256" spans="1:8" ht="19.5" thickBot="1" x14ac:dyDescent="0.45">
      <c r="D256" s="48"/>
    </row>
    <row r="257" spans="1:7" x14ac:dyDescent="0.4">
      <c r="A257" s="8">
        <v>36</v>
      </c>
      <c r="B257" s="33" t="s">
        <v>428</v>
      </c>
      <c r="C257" s="94" t="s">
        <v>16</v>
      </c>
      <c r="D257" s="46" t="s">
        <v>32</v>
      </c>
      <c r="E257" s="13">
        <v>20390</v>
      </c>
      <c r="F257" s="108">
        <f>SUM(G257)</f>
        <v>0</v>
      </c>
      <c r="G257" s="104">
        <v>0</v>
      </c>
    </row>
    <row r="258" spans="1:7" x14ac:dyDescent="0.4">
      <c r="B258" s="14"/>
      <c r="D258" s="81" t="s">
        <v>33</v>
      </c>
      <c r="E258" s="11">
        <v>20390</v>
      </c>
      <c r="F258" s="109">
        <f>SUM(G258)</f>
        <v>0</v>
      </c>
      <c r="G258" s="105">
        <v>0</v>
      </c>
    </row>
    <row r="259" spans="1:7" ht="19.5" thickBot="1" x14ac:dyDescent="0.45">
      <c r="B259" s="15" t="str">
        <f>"TOTAL PCS = " &amp; SUM(F257:F259)</f>
        <v>TOTAL PCS = 0</v>
      </c>
      <c r="C259" s="16"/>
      <c r="D259" s="47" t="s">
        <v>34</v>
      </c>
      <c r="E259" s="17">
        <v>20390</v>
      </c>
      <c r="F259" s="110">
        <f>SUM(G259)</f>
        <v>0</v>
      </c>
      <c r="G259" s="106">
        <v>0</v>
      </c>
    </row>
    <row r="260" spans="1:7" ht="19.5" thickBot="1" x14ac:dyDescent="0.45">
      <c r="D260" s="48"/>
    </row>
    <row r="261" spans="1:7" x14ac:dyDescent="0.4">
      <c r="A261" s="8">
        <v>37</v>
      </c>
      <c r="B261" s="33" t="s">
        <v>427</v>
      </c>
      <c r="C261" s="94" t="s">
        <v>38</v>
      </c>
      <c r="D261" s="46" t="s">
        <v>32</v>
      </c>
      <c r="E261" s="13">
        <v>27690</v>
      </c>
      <c r="F261" s="108">
        <f>SUM(G261)</f>
        <v>1</v>
      </c>
      <c r="G261" s="104">
        <v>1</v>
      </c>
    </row>
    <row r="262" spans="1:7" x14ac:dyDescent="0.4">
      <c r="B262" s="14"/>
      <c r="D262" s="81" t="s">
        <v>33</v>
      </c>
      <c r="E262" s="11">
        <v>27690</v>
      </c>
      <c r="F262" s="109">
        <f>SUM(G262)</f>
        <v>0</v>
      </c>
      <c r="G262" s="105">
        <v>0</v>
      </c>
    </row>
    <row r="263" spans="1:7" ht="19.5" thickBot="1" x14ac:dyDescent="0.45">
      <c r="B263" s="15" t="str">
        <f>"TOTAL PCS = " &amp; SUM(F261:F263)</f>
        <v>TOTAL PCS = 1</v>
      </c>
      <c r="C263" s="16"/>
      <c r="D263" s="47" t="s">
        <v>34</v>
      </c>
      <c r="E263" s="55">
        <v>27690</v>
      </c>
      <c r="F263" s="110">
        <f>SUM(G263)</f>
        <v>0</v>
      </c>
      <c r="G263" s="106">
        <v>0</v>
      </c>
    </row>
    <row r="264" spans="1:7" ht="19.5" thickBot="1" x14ac:dyDescent="0.45">
      <c r="D264" s="48"/>
    </row>
    <row r="265" spans="1:7" x14ac:dyDescent="0.4">
      <c r="A265" s="8">
        <v>38</v>
      </c>
      <c r="B265" s="33" t="s">
        <v>538</v>
      </c>
      <c r="C265" s="34" t="s">
        <v>16</v>
      </c>
      <c r="D265" s="46" t="s">
        <v>347</v>
      </c>
      <c r="E265" s="13">
        <v>16690</v>
      </c>
      <c r="F265" s="108">
        <f>SUM(G265)</f>
        <v>0</v>
      </c>
      <c r="G265" s="104">
        <v>0</v>
      </c>
    </row>
    <row r="266" spans="1:7" x14ac:dyDescent="0.4">
      <c r="B266" s="14"/>
      <c r="D266" s="75" t="s">
        <v>294</v>
      </c>
      <c r="E266" s="6">
        <v>16690</v>
      </c>
      <c r="F266" s="109">
        <f t="shared" ref="F266:F272" si="27">SUM(G266)</f>
        <v>0</v>
      </c>
      <c r="G266" s="105">
        <v>0</v>
      </c>
    </row>
    <row r="267" spans="1:7" x14ac:dyDescent="0.4">
      <c r="B267" s="14" t="str">
        <f>"TOTAL PCS = " &amp; SUM(F265:F272)</f>
        <v>TOTAL PCS = 1</v>
      </c>
      <c r="D267" s="75" t="s">
        <v>342</v>
      </c>
      <c r="E267" s="6">
        <v>16690</v>
      </c>
      <c r="F267" s="109">
        <f t="shared" si="27"/>
        <v>0</v>
      </c>
      <c r="G267" s="105">
        <v>0</v>
      </c>
    </row>
    <row r="268" spans="1:7" x14ac:dyDescent="0.4">
      <c r="B268" s="14"/>
      <c r="D268" s="75" t="s">
        <v>264</v>
      </c>
      <c r="E268" s="6">
        <v>17790</v>
      </c>
      <c r="F268" s="109">
        <f t="shared" si="27"/>
        <v>1</v>
      </c>
      <c r="G268" s="105">
        <v>1</v>
      </c>
    </row>
    <row r="269" spans="1:7" x14ac:dyDescent="0.4">
      <c r="B269" s="14"/>
      <c r="D269" s="75" t="s">
        <v>9</v>
      </c>
      <c r="E269" s="6">
        <v>16690</v>
      </c>
      <c r="F269" s="109">
        <f t="shared" si="27"/>
        <v>0</v>
      </c>
      <c r="G269" s="105">
        <v>0</v>
      </c>
    </row>
    <row r="270" spans="1:7" x14ac:dyDescent="0.4">
      <c r="B270" s="14"/>
      <c r="D270" s="75" t="s">
        <v>295</v>
      </c>
      <c r="E270" s="6">
        <v>16690</v>
      </c>
      <c r="F270" s="109">
        <f t="shared" si="27"/>
        <v>0</v>
      </c>
      <c r="G270" s="105">
        <v>0</v>
      </c>
    </row>
    <row r="271" spans="1:7" x14ac:dyDescent="0.4">
      <c r="B271" s="14"/>
      <c r="D271" s="75" t="s">
        <v>343</v>
      </c>
      <c r="E271" s="6">
        <v>16690</v>
      </c>
      <c r="F271" s="109">
        <f t="shared" si="27"/>
        <v>0</v>
      </c>
      <c r="G271" s="105">
        <v>0</v>
      </c>
    </row>
    <row r="272" spans="1:7" ht="19.5" thickBot="1" x14ac:dyDescent="0.45">
      <c r="B272" s="15"/>
      <c r="C272" s="16"/>
      <c r="D272" s="47" t="s">
        <v>293</v>
      </c>
      <c r="E272" s="17">
        <v>16690</v>
      </c>
      <c r="F272" s="110">
        <f t="shared" si="27"/>
        <v>0</v>
      </c>
      <c r="G272" s="106">
        <v>0</v>
      </c>
    </row>
    <row r="273" spans="1:7" ht="19.5" thickBot="1" x14ac:dyDescent="0.45">
      <c r="D273" s="48"/>
    </row>
    <row r="274" spans="1:7" ht="42" customHeight="1" thickBot="1" x14ac:dyDescent="0.45">
      <c r="A274" s="8">
        <v>39</v>
      </c>
      <c r="B274" s="135" t="s">
        <v>537</v>
      </c>
      <c r="C274" s="27" t="s">
        <v>12</v>
      </c>
      <c r="D274" s="82" t="s">
        <v>32</v>
      </c>
      <c r="E274" s="28">
        <v>20690</v>
      </c>
      <c r="F274" s="119">
        <f>SUM(G274)</f>
        <v>0</v>
      </c>
      <c r="G274" s="111">
        <v>0</v>
      </c>
    </row>
    <row r="275" spans="1:7" ht="19.5" thickBot="1" x14ac:dyDescent="0.45">
      <c r="D275" s="48"/>
    </row>
    <row r="276" spans="1:7" ht="19.5" thickBot="1" x14ac:dyDescent="0.45">
      <c r="A276" s="8">
        <v>40</v>
      </c>
      <c r="B276" s="26" t="s">
        <v>426</v>
      </c>
      <c r="C276" s="27" t="s">
        <v>348</v>
      </c>
      <c r="D276" s="82" t="s">
        <v>264</v>
      </c>
      <c r="E276" s="28">
        <v>25790</v>
      </c>
      <c r="F276" s="119">
        <f>SUM(G276)</f>
        <v>1</v>
      </c>
      <c r="G276" s="111">
        <v>1</v>
      </c>
    </row>
    <row r="277" spans="1:7" ht="19.5" thickBot="1" x14ac:dyDescent="0.45">
      <c r="D277" s="48"/>
    </row>
    <row r="278" spans="1:7" x14ac:dyDescent="0.4">
      <c r="A278" s="8">
        <v>41</v>
      </c>
      <c r="B278" s="33" t="s">
        <v>425</v>
      </c>
      <c r="C278" s="12" t="s">
        <v>12</v>
      </c>
      <c r="D278" s="83" t="s">
        <v>293</v>
      </c>
      <c r="E278" s="13">
        <v>15390</v>
      </c>
      <c r="F278" s="108">
        <f>SUM(G278)</f>
        <v>0</v>
      </c>
      <c r="G278" s="104">
        <v>0</v>
      </c>
    </row>
    <row r="279" spans="1:7" x14ac:dyDescent="0.4">
      <c r="B279" s="14"/>
      <c r="C279" s="51"/>
      <c r="D279" s="84" t="s">
        <v>294</v>
      </c>
      <c r="E279" s="6">
        <v>15390</v>
      </c>
      <c r="F279" s="109">
        <f>SUM(G279)</f>
        <v>0</v>
      </c>
      <c r="G279" s="105">
        <v>0</v>
      </c>
    </row>
    <row r="280" spans="1:7" x14ac:dyDescent="0.4">
      <c r="B280" s="14" t="str">
        <f>"TOTAL PCS = " &amp; SUM(F278:F285)</f>
        <v>TOTAL PCS = 2</v>
      </c>
      <c r="C280" s="51"/>
      <c r="D280" s="84" t="s">
        <v>265</v>
      </c>
      <c r="E280" s="6">
        <v>15390</v>
      </c>
      <c r="F280" s="109">
        <f t="shared" ref="F280:F285" si="28">SUM(G280)</f>
        <v>2</v>
      </c>
      <c r="G280" s="105">
        <v>2</v>
      </c>
    </row>
    <row r="281" spans="1:7" x14ac:dyDescent="0.4">
      <c r="B281" s="14"/>
      <c r="C281" s="51"/>
      <c r="D281" s="84" t="s">
        <v>342</v>
      </c>
      <c r="E281" s="6">
        <v>15390</v>
      </c>
      <c r="F281" s="109">
        <f t="shared" si="28"/>
        <v>0</v>
      </c>
      <c r="G281" s="105">
        <v>0</v>
      </c>
    </row>
    <row r="282" spans="1:7" x14ac:dyDescent="0.4">
      <c r="B282" s="14"/>
      <c r="C282" s="51"/>
      <c r="D282" s="84" t="s">
        <v>295</v>
      </c>
      <c r="E282" s="6">
        <v>15390</v>
      </c>
      <c r="F282" s="109">
        <f t="shared" si="28"/>
        <v>0</v>
      </c>
      <c r="G282" s="105">
        <v>0</v>
      </c>
    </row>
    <row r="283" spans="1:7" x14ac:dyDescent="0.4">
      <c r="B283" s="14"/>
      <c r="C283" s="51"/>
      <c r="D283" s="84" t="s">
        <v>9</v>
      </c>
      <c r="E283" s="11">
        <v>18790</v>
      </c>
      <c r="F283" s="109">
        <f t="shared" si="28"/>
        <v>0</v>
      </c>
      <c r="G283" s="105">
        <v>0</v>
      </c>
    </row>
    <row r="284" spans="1:7" x14ac:dyDescent="0.4">
      <c r="B284" s="14"/>
      <c r="C284" s="51"/>
      <c r="D284" s="84" t="s">
        <v>343</v>
      </c>
      <c r="E284" s="11">
        <v>18790</v>
      </c>
      <c r="F284" s="109">
        <f t="shared" si="28"/>
        <v>0</v>
      </c>
      <c r="G284" s="105">
        <v>0</v>
      </c>
    </row>
    <row r="285" spans="1:7" ht="19.5" thickBot="1" x14ac:dyDescent="0.45">
      <c r="B285" s="15"/>
      <c r="C285" s="52"/>
      <c r="D285" s="85" t="s">
        <v>32</v>
      </c>
      <c r="E285" s="17">
        <v>19290</v>
      </c>
      <c r="F285" s="110">
        <f t="shared" si="28"/>
        <v>0</v>
      </c>
      <c r="G285" s="106">
        <v>0</v>
      </c>
    </row>
    <row r="286" spans="1:7" ht="19.5" thickBot="1" x14ac:dyDescent="0.45">
      <c r="D286" s="48"/>
    </row>
    <row r="287" spans="1:7" x14ac:dyDescent="0.4">
      <c r="A287" s="8">
        <v>42</v>
      </c>
      <c r="B287" s="33" t="s">
        <v>424</v>
      </c>
      <c r="C287" s="12" t="s">
        <v>29</v>
      </c>
      <c r="D287" s="83" t="s">
        <v>293</v>
      </c>
      <c r="E287" s="13">
        <v>15690</v>
      </c>
      <c r="F287" s="108">
        <f>SUM(G287)</f>
        <v>0</v>
      </c>
      <c r="G287" s="104">
        <v>0</v>
      </c>
    </row>
    <row r="288" spans="1:7" x14ac:dyDescent="0.4">
      <c r="B288" s="14"/>
      <c r="C288" s="51"/>
      <c r="D288" s="84" t="s">
        <v>294</v>
      </c>
      <c r="E288" s="6">
        <v>15690</v>
      </c>
      <c r="F288" s="109">
        <f>SUM(G288)</f>
        <v>2</v>
      </c>
      <c r="G288" s="105">
        <v>2</v>
      </c>
    </row>
    <row r="289" spans="1:8" x14ac:dyDescent="0.4">
      <c r="B289" s="14" t="str">
        <f>"TOTAL PCS = " &amp; SUM(F287:F294)</f>
        <v>TOTAL PCS = 9</v>
      </c>
      <c r="C289" s="51"/>
      <c r="D289" s="84" t="s">
        <v>265</v>
      </c>
      <c r="E289" s="6">
        <v>15690</v>
      </c>
      <c r="F289" s="109">
        <f t="shared" ref="F289:F294" si="29">SUM(G289)</f>
        <v>1</v>
      </c>
      <c r="G289" s="105">
        <v>1</v>
      </c>
    </row>
    <row r="290" spans="1:8" x14ac:dyDescent="0.4">
      <c r="B290" s="14"/>
      <c r="C290" s="51"/>
      <c r="D290" s="84" t="s">
        <v>342</v>
      </c>
      <c r="E290" s="6">
        <v>15690</v>
      </c>
      <c r="F290" s="109">
        <f t="shared" si="29"/>
        <v>1</v>
      </c>
      <c r="G290" s="105">
        <v>1</v>
      </c>
    </row>
    <row r="291" spans="1:8" x14ac:dyDescent="0.4">
      <c r="B291" s="14"/>
      <c r="C291" s="51"/>
      <c r="D291" s="84" t="s">
        <v>295</v>
      </c>
      <c r="E291" s="6">
        <v>15690</v>
      </c>
      <c r="F291" s="109">
        <f t="shared" si="29"/>
        <v>1</v>
      </c>
      <c r="G291" s="105">
        <v>1</v>
      </c>
    </row>
    <row r="292" spans="1:8" x14ac:dyDescent="0.4">
      <c r="B292" s="14"/>
      <c r="C292" s="51"/>
      <c r="D292" s="84" t="s">
        <v>9</v>
      </c>
      <c r="E292" s="11">
        <v>19390</v>
      </c>
      <c r="F292" s="109">
        <f t="shared" si="29"/>
        <v>1</v>
      </c>
      <c r="G292" s="105">
        <v>1</v>
      </c>
    </row>
    <row r="293" spans="1:8" x14ac:dyDescent="0.4">
      <c r="B293" s="14"/>
      <c r="C293" s="51"/>
      <c r="D293" s="84" t="s">
        <v>343</v>
      </c>
      <c r="E293" s="11">
        <v>19390</v>
      </c>
      <c r="F293" s="109">
        <f t="shared" si="29"/>
        <v>2</v>
      </c>
      <c r="G293" s="105">
        <v>2</v>
      </c>
    </row>
    <row r="294" spans="1:8" ht="19.5" thickBot="1" x14ac:dyDescent="0.45">
      <c r="B294" s="15"/>
      <c r="C294" s="52"/>
      <c r="D294" s="85" t="s">
        <v>32</v>
      </c>
      <c r="E294" s="17">
        <v>19890</v>
      </c>
      <c r="F294" s="110">
        <f t="shared" si="29"/>
        <v>1</v>
      </c>
      <c r="G294" s="106">
        <v>1</v>
      </c>
    </row>
    <row r="295" spans="1:8" ht="19.5" thickBot="1" x14ac:dyDescent="0.45">
      <c r="D295" s="48"/>
    </row>
    <row r="296" spans="1:8" x14ac:dyDescent="0.4">
      <c r="A296" s="8">
        <v>43</v>
      </c>
      <c r="B296" s="33" t="s">
        <v>423</v>
      </c>
      <c r="C296" s="12" t="s">
        <v>16</v>
      </c>
      <c r="D296" s="83" t="s">
        <v>293</v>
      </c>
      <c r="E296" s="13">
        <v>16590</v>
      </c>
      <c r="F296" s="108">
        <f>SUM(G296)</f>
        <v>3</v>
      </c>
      <c r="G296" s="104">
        <v>3</v>
      </c>
    </row>
    <row r="297" spans="1:8" x14ac:dyDescent="0.4">
      <c r="B297" s="14"/>
      <c r="C297" s="51"/>
      <c r="D297" s="84" t="s">
        <v>294</v>
      </c>
      <c r="E297" s="6">
        <v>16590</v>
      </c>
      <c r="F297" s="109">
        <f>SUM(G297)</f>
        <v>1</v>
      </c>
      <c r="G297" s="105">
        <v>1</v>
      </c>
    </row>
    <row r="298" spans="1:8" x14ac:dyDescent="0.4">
      <c r="B298" s="14" t="str">
        <f>"TOTAL PCS = " &amp; SUM(F296:F303)</f>
        <v>TOTAL PCS = 12</v>
      </c>
      <c r="C298" s="51"/>
      <c r="D298" s="84" t="s">
        <v>265</v>
      </c>
      <c r="E298" s="6">
        <v>16590</v>
      </c>
      <c r="F298" s="109">
        <f t="shared" ref="F298:F303" si="30">SUM(G298)</f>
        <v>1</v>
      </c>
      <c r="G298" s="105">
        <v>1</v>
      </c>
      <c r="H298" t="s">
        <v>533</v>
      </c>
    </row>
    <row r="299" spans="1:8" x14ac:dyDescent="0.4">
      <c r="B299" s="14"/>
      <c r="C299" s="51"/>
      <c r="D299" s="84" t="s">
        <v>342</v>
      </c>
      <c r="E299" s="6">
        <v>16590</v>
      </c>
      <c r="F299" s="109">
        <f t="shared" si="30"/>
        <v>1</v>
      </c>
      <c r="G299" s="105">
        <v>1</v>
      </c>
    </row>
    <row r="300" spans="1:8" x14ac:dyDescent="0.4">
      <c r="B300" s="14"/>
      <c r="C300" s="51"/>
      <c r="D300" s="84" t="s">
        <v>295</v>
      </c>
      <c r="E300" s="6">
        <v>16590</v>
      </c>
      <c r="F300" s="109">
        <f t="shared" si="30"/>
        <v>1</v>
      </c>
      <c r="G300" s="105">
        <v>1</v>
      </c>
    </row>
    <row r="301" spans="1:8" x14ac:dyDescent="0.4">
      <c r="B301" s="14"/>
      <c r="C301" s="51"/>
      <c r="D301" s="84" t="s">
        <v>9</v>
      </c>
      <c r="E301" s="11">
        <v>19490</v>
      </c>
      <c r="F301" s="109">
        <f t="shared" si="30"/>
        <v>1</v>
      </c>
      <c r="G301" s="105">
        <v>1</v>
      </c>
    </row>
    <row r="302" spans="1:8" x14ac:dyDescent="0.4">
      <c r="B302" s="14"/>
      <c r="C302" s="51"/>
      <c r="D302" s="84" t="s">
        <v>343</v>
      </c>
      <c r="E302" s="11">
        <v>19490</v>
      </c>
      <c r="F302" s="109">
        <f t="shared" si="30"/>
        <v>1</v>
      </c>
      <c r="G302" s="105">
        <v>1</v>
      </c>
    </row>
    <row r="303" spans="1:8" ht="19.5" thickBot="1" x14ac:dyDescent="0.45">
      <c r="B303" s="15"/>
      <c r="C303" s="52"/>
      <c r="D303" s="85" t="s">
        <v>32</v>
      </c>
      <c r="E303" s="17">
        <v>19890</v>
      </c>
      <c r="F303" s="110">
        <f t="shared" si="30"/>
        <v>3</v>
      </c>
      <c r="G303" s="106">
        <v>3</v>
      </c>
    </row>
    <row r="304" spans="1:8" ht="19.5" thickBot="1" x14ac:dyDescent="0.45">
      <c r="D304" s="48"/>
    </row>
    <row r="305" spans="1:8" x14ac:dyDescent="0.4">
      <c r="A305" s="8">
        <v>44</v>
      </c>
      <c r="B305" s="33" t="s">
        <v>422</v>
      </c>
      <c r="C305" s="12" t="s">
        <v>12</v>
      </c>
      <c r="D305" s="83" t="s">
        <v>293</v>
      </c>
      <c r="E305" s="13">
        <v>15390</v>
      </c>
      <c r="F305" s="108">
        <f>SUM(G305)</f>
        <v>0</v>
      </c>
      <c r="G305" s="104">
        <v>0</v>
      </c>
    </row>
    <row r="306" spans="1:8" x14ac:dyDescent="0.4">
      <c r="B306" s="14"/>
      <c r="C306" s="51"/>
      <c r="D306" s="84" t="s">
        <v>294</v>
      </c>
      <c r="E306" s="6">
        <v>15390</v>
      </c>
      <c r="F306" s="109">
        <f>SUM(G306)</f>
        <v>1</v>
      </c>
      <c r="G306" s="105">
        <v>1</v>
      </c>
    </row>
    <row r="307" spans="1:8" x14ac:dyDescent="0.4">
      <c r="B307" s="14" t="str">
        <f>"TOTAL PCS = " &amp; SUM(F305:F312)</f>
        <v>TOTAL PCS = 11</v>
      </c>
      <c r="C307" s="51"/>
      <c r="D307" s="84" t="s">
        <v>265</v>
      </c>
      <c r="E307" s="6">
        <v>15390</v>
      </c>
      <c r="F307" s="109">
        <f t="shared" ref="F307:F312" si="31">SUM(G307)</f>
        <v>3</v>
      </c>
      <c r="G307" s="105">
        <v>3</v>
      </c>
    </row>
    <row r="308" spans="1:8" x14ac:dyDescent="0.4">
      <c r="B308" s="14"/>
      <c r="C308" s="51"/>
      <c r="D308" s="84" t="s">
        <v>342</v>
      </c>
      <c r="E308" s="6">
        <v>15390</v>
      </c>
      <c r="F308" s="109">
        <f t="shared" si="31"/>
        <v>1</v>
      </c>
      <c r="G308" s="105">
        <v>1</v>
      </c>
    </row>
    <row r="309" spans="1:8" x14ac:dyDescent="0.4">
      <c r="B309" s="14"/>
      <c r="C309" s="51"/>
      <c r="D309" s="84" t="s">
        <v>295</v>
      </c>
      <c r="E309" s="6">
        <v>15390</v>
      </c>
      <c r="F309" s="109">
        <f t="shared" si="31"/>
        <v>1</v>
      </c>
      <c r="G309" s="105">
        <v>1</v>
      </c>
    </row>
    <row r="310" spans="1:8" x14ac:dyDescent="0.4">
      <c r="B310" s="14"/>
      <c r="C310" s="51"/>
      <c r="D310" s="84" t="s">
        <v>9</v>
      </c>
      <c r="E310" s="11">
        <v>19190</v>
      </c>
      <c r="F310" s="109">
        <f t="shared" si="31"/>
        <v>1</v>
      </c>
      <c r="G310" s="105">
        <v>1</v>
      </c>
    </row>
    <row r="311" spans="1:8" x14ac:dyDescent="0.4">
      <c r="B311" s="14"/>
      <c r="C311" s="51"/>
      <c r="D311" s="84" t="s">
        <v>343</v>
      </c>
      <c r="E311" s="11">
        <v>19190</v>
      </c>
      <c r="F311" s="109">
        <f t="shared" si="31"/>
        <v>2</v>
      </c>
      <c r="G311" s="105">
        <v>2</v>
      </c>
      <c r="H311" t="s">
        <v>534</v>
      </c>
    </row>
    <row r="312" spans="1:8" ht="19.5" thickBot="1" x14ac:dyDescent="0.45">
      <c r="B312" s="15"/>
      <c r="C312" s="52"/>
      <c r="D312" s="85" t="s">
        <v>32</v>
      </c>
      <c r="E312" s="17">
        <v>19690</v>
      </c>
      <c r="F312" s="110">
        <f t="shared" si="31"/>
        <v>2</v>
      </c>
      <c r="G312" s="106">
        <v>2</v>
      </c>
    </row>
    <row r="313" spans="1:8" ht="19.5" thickBot="1" x14ac:dyDescent="0.45">
      <c r="D313" s="48"/>
    </row>
    <row r="314" spans="1:8" x14ac:dyDescent="0.4">
      <c r="A314" s="8">
        <v>45</v>
      </c>
      <c r="B314" s="33" t="s">
        <v>40</v>
      </c>
      <c r="C314" s="94" t="s">
        <v>39</v>
      </c>
      <c r="D314" s="83" t="s">
        <v>293</v>
      </c>
      <c r="E314" s="13">
        <v>17790</v>
      </c>
      <c r="F314" s="108">
        <f>SUM(G314)</f>
        <v>1</v>
      </c>
      <c r="G314" s="104">
        <v>1</v>
      </c>
    </row>
    <row r="315" spans="1:8" x14ac:dyDescent="0.4">
      <c r="B315" s="14"/>
      <c r="C315" s="62"/>
      <c r="D315" s="84" t="s">
        <v>294</v>
      </c>
      <c r="E315" s="6">
        <v>17790</v>
      </c>
      <c r="F315" s="109">
        <f>SUM(G315)</f>
        <v>1</v>
      </c>
      <c r="G315" s="105">
        <v>1</v>
      </c>
      <c r="H315" t="s">
        <v>533</v>
      </c>
    </row>
    <row r="316" spans="1:8" x14ac:dyDescent="0.4">
      <c r="B316" s="14" t="str">
        <f>"TOTAL PCS = " &amp; SUM(F314:F321)</f>
        <v>TOTAL PCS = 10</v>
      </c>
      <c r="C316" s="51"/>
      <c r="D316" s="84" t="s">
        <v>265</v>
      </c>
      <c r="E316" s="6">
        <v>17790</v>
      </c>
      <c r="F316" s="109">
        <f t="shared" ref="F316:F321" si="32">SUM(G316)</f>
        <v>1</v>
      </c>
      <c r="G316" s="105">
        <v>1</v>
      </c>
    </row>
    <row r="317" spans="1:8" x14ac:dyDescent="0.4">
      <c r="B317" s="14"/>
      <c r="C317" s="51"/>
      <c r="D317" s="84" t="s">
        <v>342</v>
      </c>
      <c r="E317" s="6">
        <v>17790</v>
      </c>
      <c r="F317" s="109">
        <f t="shared" si="32"/>
        <v>1</v>
      </c>
      <c r="G317" s="107">
        <v>1</v>
      </c>
    </row>
    <row r="318" spans="1:8" x14ac:dyDescent="0.4">
      <c r="B318" s="14"/>
      <c r="C318" s="51"/>
      <c r="D318" s="84" t="s">
        <v>295</v>
      </c>
      <c r="E318" s="6">
        <v>17790</v>
      </c>
      <c r="F318" s="109">
        <f t="shared" si="32"/>
        <v>2</v>
      </c>
      <c r="G318" s="107">
        <v>2</v>
      </c>
    </row>
    <row r="319" spans="1:8" x14ac:dyDescent="0.4">
      <c r="B319" s="14"/>
      <c r="C319" s="51"/>
      <c r="D319" s="84" t="s">
        <v>9</v>
      </c>
      <c r="E319" s="11">
        <v>21990</v>
      </c>
      <c r="F319" s="109">
        <f t="shared" si="32"/>
        <v>1</v>
      </c>
      <c r="G319" s="107">
        <v>1</v>
      </c>
    </row>
    <row r="320" spans="1:8" x14ac:dyDescent="0.4">
      <c r="B320" s="14"/>
      <c r="C320" s="51"/>
      <c r="D320" s="84" t="s">
        <v>343</v>
      </c>
      <c r="E320" s="11">
        <v>21990</v>
      </c>
      <c r="F320" s="109">
        <f t="shared" si="32"/>
        <v>1</v>
      </c>
      <c r="G320" s="107">
        <v>1</v>
      </c>
    </row>
    <row r="321" spans="1:7" ht="19.5" thickBot="1" x14ac:dyDescent="0.45">
      <c r="B321" s="15"/>
      <c r="C321" s="52"/>
      <c r="D321" s="85" t="s">
        <v>32</v>
      </c>
      <c r="E321" s="17">
        <v>22390</v>
      </c>
      <c r="F321" s="110">
        <f t="shared" si="32"/>
        <v>2</v>
      </c>
      <c r="G321" s="106">
        <v>2</v>
      </c>
    </row>
    <row r="322" spans="1:7" ht="19.5" thickBot="1" x14ac:dyDescent="0.45">
      <c r="D322" s="48"/>
    </row>
    <row r="323" spans="1:7" ht="19.5" thickBot="1" x14ac:dyDescent="0.45">
      <c r="A323" s="8">
        <v>46</v>
      </c>
      <c r="B323" s="33" t="s">
        <v>41</v>
      </c>
      <c r="C323" s="94" t="s">
        <v>42</v>
      </c>
      <c r="D323" s="83" t="s">
        <v>293</v>
      </c>
      <c r="E323" s="13">
        <v>22390</v>
      </c>
      <c r="F323" s="108">
        <f>SUM(G323)</f>
        <v>0</v>
      </c>
      <c r="G323" s="104">
        <v>0</v>
      </c>
    </row>
    <row r="324" spans="1:7" x14ac:dyDescent="0.4">
      <c r="B324" s="14"/>
      <c r="C324" s="62"/>
      <c r="D324" s="86" t="s">
        <v>294</v>
      </c>
      <c r="E324" s="56">
        <v>22390</v>
      </c>
      <c r="F324" s="118">
        <f>SUM(G324)</f>
        <v>1</v>
      </c>
      <c r="G324" s="107">
        <v>1</v>
      </c>
    </row>
    <row r="325" spans="1:7" x14ac:dyDescent="0.4">
      <c r="B325" s="14" t="str">
        <f>"TOTAL PCS = " &amp; SUM(F323:F330)</f>
        <v>TOTAL PCS = 7</v>
      </c>
      <c r="C325" s="51"/>
      <c r="D325" s="48" t="s">
        <v>265</v>
      </c>
      <c r="E325" s="6">
        <v>22390</v>
      </c>
      <c r="F325" s="118">
        <f t="shared" ref="F325:F330" si="33">SUM(G325)</f>
        <v>0</v>
      </c>
      <c r="G325" s="109">
        <v>0</v>
      </c>
    </row>
    <row r="326" spans="1:7" x14ac:dyDescent="0.4">
      <c r="B326" s="14"/>
      <c r="C326" s="51"/>
      <c r="D326" s="84" t="s">
        <v>342</v>
      </c>
      <c r="E326" s="6">
        <v>22390</v>
      </c>
      <c r="F326" s="118">
        <f t="shared" si="33"/>
        <v>0</v>
      </c>
      <c r="G326" s="109">
        <v>0</v>
      </c>
    </row>
    <row r="327" spans="1:7" x14ac:dyDescent="0.4">
      <c r="B327" s="14"/>
      <c r="C327" s="51"/>
      <c r="D327" s="84" t="s">
        <v>295</v>
      </c>
      <c r="E327" s="6">
        <v>22390</v>
      </c>
      <c r="F327" s="118">
        <f t="shared" si="33"/>
        <v>1</v>
      </c>
      <c r="G327" s="109">
        <v>1</v>
      </c>
    </row>
    <row r="328" spans="1:7" x14ac:dyDescent="0.4">
      <c r="B328" s="14"/>
      <c r="C328" s="51"/>
      <c r="D328" s="84" t="s">
        <v>9</v>
      </c>
      <c r="E328" s="6">
        <v>25790</v>
      </c>
      <c r="F328" s="118">
        <f t="shared" si="33"/>
        <v>3</v>
      </c>
      <c r="G328" s="109">
        <v>3</v>
      </c>
    </row>
    <row r="329" spans="1:7" x14ac:dyDescent="0.4">
      <c r="B329" s="14"/>
      <c r="C329" s="51"/>
      <c r="D329" s="84" t="s">
        <v>343</v>
      </c>
      <c r="E329" s="6">
        <v>25790</v>
      </c>
      <c r="F329" s="118">
        <f t="shared" si="33"/>
        <v>1</v>
      </c>
      <c r="G329" s="109">
        <v>1</v>
      </c>
    </row>
    <row r="330" spans="1:7" ht="19.5" thickBot="1" x14ac:dyDescent="0.45">
      <c r="B330" s="15"/>
      <c r="C330" s="52"/>
      <c r="D330" s="85" t="s">
        <v>32</v>
      </c>
      <c r="E330" s="55">
        <v>26190</v>
      </c>
      <c r="F330" s="110">
        <f t="shared" si="33"/>
        <v>1</v>
      </c>
      <c r="G330" s="112">
        <v>1</v>
      </c>
    </row>
    <row r="331" spans="1:7" ht="19.5" thickBot="1" x14ac:dyDescent="0.45">
      <c r="A331" s="8" t="s">
        <v>285</v>
      </c>
      <c r="D331" s="48"/>
    </row>
    <row r="332" spans="1:7" ht="19.5" thickBot="1" x14ac:dyDescent="0.45">
      <c r="A332" s="8">
        <v>47</v>
      </c>
      <c r="B332" s="33" t="s">
        <v>421</v>
      </c>
      <c r="C332" s="12" t="s">
        <v>16</v>
      </c>
      <c r="D332" s="83" t="s">
        <v>293</v>
      </c>
      <c r="E332" s="13">
        <v>16690</v>
      </c>
      <c r="F332" s="108">
        <f>SUM(G332)</f>
        <v>0</v>
      </c>
      <c r="G332" s="104">
        <v>0</v>
      </c>
    </row>
    <row r="333" spans="1:7" ht="19.5" thickBot="1" x14ac:dyDescent="0.45">
      <c r="B333" s="14"/>
      <c r="C333" s="51"/>
      <c r="D333" s="84" t="s">
        <v>294</v>
      </c>
      <c r="E333" s="13">
        <v>16690</v>
      </c>
      <c r="F333" s="109">
        <f>SUM(G333)</f>
        <v>0</v>
      </c>
      <c r="G333" s="105">
        <v>0</v>
      </c>
    </row>
    <row r="334" spans="1:7" x14ac:dyDescent="0.4">
      <c r="B334" s="14" t="str">
        <f>"TOTAL PCS = " &amp; SUM(F332:F339)</f>
        <v>TOTAL PCS = 0</v>
      </c>
      <c r="C334" s="51"/>
      <c r="D334" s="86" t="s">
        <v>265</v>
      </c>
      <c r="E334" s="56">
        <v>16690</v>
      </c>
      <c r="F334" s="109">
        <f t="shared" ref="F334:F339" si="34">SUM(G334)</f>
        <v>0</v>
      </c>
      <c r="G334" s="105">
        <v>0</v>
      </c>
    </row>
    <row r="335" spans="1:7" x14ac:dyDescent="0.4">
      <c r="B335" s="14"/>
      <c r="C335" s="51"/>
      <c r="D335" s="84" t="s">
        <v>342</v>
      </c>
      <c r="E335" s="6">
        <v>16690</v>
      </c>
      <c r="F335" s="109">
        <f t="shared" si="34"/>
        <v>0</v>
      </c>
      <c r="G335" s="105">
        <v>0</v>
      </c>
    </row>
    <row r="336" spans="1:7" x14ac:dyDescent="0.4">
      <c r="B336" s="14"/>
      <c r="C336" s="51"/>
      <c r="D336" s="88" t="s">
        <v>295</v>
      </c>
      <c r="E336" s="6">
        <v>16690</v>
      </c>
      <c r="F336" s="109">
        <f t="shared" si="34"/>
        <v>0</v>
      </c>
      <c r="G336" s="105">
        <v>0</v>
      </c>
    </row>
    <row r="337" spans="1:7" x14ac:dyDescent="0.4">
      <c r="B337" s="14"/>
      <c r="C337" s="51"/>
      <c r="D337" s="89" t="s">
        <v>9</v>
      </c>
      <c r="E337" s="6">
        <v>19390</v>
      </c>
      <c r="F337" s="109">
        <f t="shared" si="34"/>
        <v>0</v>
      </c>
      <c r="G337" s="105">
        <v>0</v>
      </c>
    </row>
    <row r="338" spans="1:7" x14ac:dyDescent="0.4">
      <c r="B338" s="14"/>
      <c r="C338" s="51"/>
      <c r="D338" s="84" t="s">
        <v>343</v>
      </c>
      <c r="E338" s="6">
        <v>19390</v>
      </c>
      <c r="F338" s="109">
        <f t="shared" si="34"/>
        <v>0</v>
      </c>
      <c r="G338" s="105">
        <v>0</v>
      </c>
    </row>
    <row r="339" spans="1:7" ht="19.5" thickBot="1" x14ac:dyDescent="0.45">
      <c r="B339" s="15"/>
      <c r="C339" s="52"/>
      <c r="D339" s="85" t="s">
        <v>32</v>
      </c>
      <c r="E339" s="55">
        <v>19890</v>
      </c>
      <c r="F339" s="110">
        <f t="shared" si="34"/>
        <v>0</v>
      </c>
      <c r="G339" s="106">
        <v>0</v>
      </c>
    </row>
    <row r="340" spans="1:7" ht="19.5" thickBot="1" x14ac:dyDescent="0.45">
      <c r="D340" s="48"/>
    </row>
    <row r="341" spans="1:7" ht="19.5" thickBot="1" x14ac:dyDescent="0.45">
      <c r="A341" s="8">
        <v>48</v>
      </c>
      <c r="B341" s="33" t="s">
        <v>420</v>
      </c>
      <c r="C341" s="12" t="s">
        <v>38</v>
      </c>
      <c r="D341" s="83" t="s">
        <v>293</v>
      </c>
      <c r="E341" s="13">
        <v>22790</v>
      </c>
      <c r="F341" s="108">
        <f>SUM(G341)</f>
        <v>0</v>
      </c>
      <c r="G341" s="104">
        <v>0</v>
      </c>
    </row>
    <row r="342" spans="1:7" ht="19.5" thickBot="1" x14ac:dyDescent="0.45">
      <c r="B342" s="14"/>
      <c r="C342" s="51"/>
      <c r="D342" s="84" t="s">
        <v>294</v>
      </c>
      <c r="E342" s="13">
        <v>22790</v>
      </c>
      <c r="F342" s="109">
        <f>SUM(G342)</f>
        <v>0</v>
      </c>
      <c r="G342" s="105">
        <v>0</v>
      </c>
    </row>
    <row r="343" spans="1:7" x14ac:dyDescent="0.4">
      <c r="B343" s="14" t="str">
        <f>"TOTAL PCS = " &amp; SUM(F341:F348)</f>
        <v>TOTAL PCS = 1</v>
      </c>
      <c r="C343" s="51"/>
      <c r="D343" s="86" t="s">
        <v>265</v>
      </c>
      <c r="E343" s="56">
        <v>22790</v>
      </c>
      <c r="F343" s="109">
        <f t="shared" ref="F343:F348" si="35">SUM(G343)</f>
        <v>0</v>
      </c>
      <c r="G343" s="105">
        <v>0</v>
      </c>
    </row>
    <row r="344" spans="1:7" x14ac:dyDescent="0.4">
      <c r="B344" s="14"/>
      <c r="C344" s="51"/>
      <c r="D344" s="84" t="s">
        <v>342</v>
      </c>
      <c r="E344" s="6">
        <v>22790</v>
      </c>
      <c r="F344" s="109">
        <f t="shared" si="35"/>
        <v>0</v>
      </c>
      <c r="G344" s="105">
        <v>0</v>
      </c>
    </row>
    <row r="345" spans="1:7" x14ac:dyDescent="0.4">
      <c r="B345" s="14"/>
      <c r="C345" s="51"/>
      <c r="D345" s="88" t="s">
        <v>295</v>
      </c>
      <c r="E345" s="6">
        <v>22790</v>
      </c>
      <c r="F345" s="109">
        <f t="shared" si="35"/>
        <v>0</v>
      </c>
      <c r="G345" s="105">
        <v>0</v>
      </c>
    </row>
    <row r="346" spans="1:7" x14ac:dyDescent="0.4">
      <c r="B346" s="14"/>
      <c r="C346" s="51"/>
      <c r="D346" s="89" t="s">
        <v>9</v>
      </c>
      <c r="E346" s="6">
        <v>26090</v>
      </c>
      <c r="F346" s="109">
        <f t="shared" si="35"/>
        <v>0</v>
      </c>
      <c r="G346" s="105">
        <v>0</v>
      </c>
    </row>
    <row r="347" spans="1:7" x14ac:dyDescent="0.4">
      <c r="B347" s="14"/>
      <c r="C347" s="51"/>
      <c r="D347" s="84" t="s">
        <v>343</v>
      </c>
      <c r="E347" s="6">
        <v>26090</v>
      </c>
      <c r="F347" s="109">
        <f t="shared" si="35"/>
        <v>0</v>
      </c>
      <c r="G347" s="105">
        <v>0</v>
      </c>
    </row>
    <row r="348" spans="1:7" ht="19.5" thickBot="1" x14ac:dyDescent="0.45">
      <c r="B348" s="15"/>
      <c r="C348" s="52"/>
      <c r="D348" s="85" t="s">
        <v>32</v>
      </c>
      <c r="E348" s="55">
        <v>26390</v>
      </c>
      <c r="F348" s="110">
        <f t="shared" si="35"/>
        <v>1</v>
      </c>
      <c r="G348" s="106">
        <v>1</v>
      </c>
    </row>
    <row r="349" spans="1:7" ht="19.5" thickBot="1" x14ac:dyDescent="0.45">
      <c r="D349" s="48"/>
    </row>
    <row r="350" spans="1:7" ht="19.5" thickBot="1" x14ac:dyDescent="0.45">
      <c r="A350" s="8">
        <v>49</v>
      </c>
      <c r="B350" s="33" t="s">
        <v>419</v>
      </c>
      <c r="C350" s="12" t="s">
        <v>15</v>
      </c>
      <c r="D350" s="83" t="s">
        <v>293</v>
      </c>
      <c r="E350" s="13">
        <v>14990</v>
      </c>
      <c r="F350" s="108">
        <f>SUM(G350)</f>
        <v>0</v>
      </c>
      <c r="G350" s="104">
        <v>0</v>
      </c>
    </row>
    <row r="351" spans="1:7" ht="19.5" thickBot="1" x14ac:dyDescent="0.45">
      <c r="B351" s="14"/>
      <c r="C351" s="51"/>
      <c r="D351" s="84" t="s">
        <v>294</v>
      </c>
      <c r="E351" s="13">
        <v>14990</v>
      </c>
      <c r="F351" s="109">
        <f>SUM(G351)</f>
        <v>0</v>
      </c>
      <c r="G351" s="105">
        <v>0</v>
      </c>
    </row>
    <row r="352" spans="1:7" x14ac:dyDescent="0.4">
      <c r="B352" s="14" t="str">
        <f>"TOTAL PCS = " &amp; SUM(F350:F357)</f>
        <v>TOTAL PCS = 3</v>
      </c>
      <c r="C352" s="51"/>
      <c r="D352" s="86" t="s">
        <v>265</v>
      </c>
      <c r="E352" s="56">
        <v>14990</v>
      </c>
      <c r="F352" s="109">
        <f t="shared" ref="F352:F357" si="36">SUM(G352)</f>
        <v>0</v>
      </c>
      <c r="G352" s="105">
        <v>0</v>
      </c>
    </row>
    <row r="353" spans="1:7" x14ac:dyDescent="0.4">
      <c r="B353" s="14"/>
      <c r="C353" s="51"/>
      <c r="D353" s="84" t="s">
        <v>342</v>
      </c>
      <c r="E353" s="6">
        <v>14990</v>
      </c>
      <c r="F353" s="109">
        <f t="shared" si="36"/>
        <v>0</v>
      </c>
      <c r="G353" s="105">
        <v>0</v>
      </c>
    </row>
    <row r="354" spans="1:7" x14ac:dyDescent="0.4">
      <c r="B354" s="14"/>
      <c r="C354" s="51"/>
      <c r="D354" s="88" t="s">
        <v>295</v>
      </c>
      <c r="E354" s="6">
        <v>14990</v>
      </c>
      <c r="F354" s="109">
        <f t="shared" si="36"/>
        <v>0</v>
      </c>
      <c r="G354" s="105">
        <v>0</v>
      </c>
    </row>
    <row r="355" spans="1:7" x14ac:dyDescent="0.4">
      <c r="B355" s="14"/>
      <c r="C355" s="51"/>
      <c r="D355" s="89" t="s">
        <v>9</v>
      </c>
      <c r="E355" s="6">
        <v>16290</v>
      </c>
      <c r="F355" s="109">
        <f t="shared" si="36"/>
        <v>0</v>
      </c>
      <c r="G355" s="105">
        <v>0</v>
      </c>
    </row>
    <row r="356" spans="1:7" x14ac:dyDescent="0.4">
      <c r="B356" s="14"/>
      <c r="C356" s="51"/>
      <c r="D356" s="84" t="s">
        <v>343</v>
      </c>
      <c r="E356" s="6">
        <v>16290</v>
      </c>
      <c r="F356" s="109">
        <f t="shared" si="36"/>
        <v>0</v>
      </c>
      <c r="G356" s="105">
        <v>0</v>
      </c>
    </row>
    <row r="357" spans="1:7" ht="19.5" thickBot="1" x14ac:dyDescent="0.45">
      <c r="B357" s="15"/>
      <c r="C357" s="52"/>
      <c r="D357" s="85" t="s">
        <v>32</v>
      </c>
      <c r="E357" s="55">
        <v>16790</v>
      </c>
      <c r="F357" s="110">
        <f t="shared" si="36"/>
        <v>3</v>
      </c>
      <c r="G357" s="106">
        <v>3</v>
      </c>
    </row>
    <row r="358" spans="1:7" ht="19.5" thickBot="1" x14ac:dyDescent="0.45"/>
    <row r="359" spans="1:7" ht="19.5" thickBot="1" x14ac:dyDescent="0.45">
      <c r="A359" s="8">
        <v>50</v>
      </c>
      <c r="B359" s="33" t="s">
        <v>418</v>
      </c>
      <c r="C359" s="12" t="s">
        <v>48</v>
      </c>
      <c r="D359" s="83" t="s">
        <v>293</v>
      </c>
      <c r="E359" s="13">
        <v>13800</v>
      </c>
      <c r="F359" s="108">
        <f>SUM(G359)</f>
        <v>0</v>
      </c>
      <c r="G359" s="104">
        <v>0</v>
      </c>
    </row>
    <row r="360" spans="1:7" ht="19.5" thickBot="1" x14ac:dyDescent="0.45">
      <c r="B360" s="14"/>
      <c r="C360" s="51"/>
      <c r="D360" s="84" t="s">
        <v>294</v>
      </c>
      <c r="E360" s="13">
        <v>13800</v>
      </c>
      <c r="F360" s="109">
        <f>SUM(G360)</f>
        <v>0</v>
      </c>
      <c r="G360" s="105">
        <v>0</v>
      </c>
    </row>
    <row r="361" spans="1:7" x14ac:dyDescent="0.4">
      <c r="B361" s="14" t="str">
        <f>"TOTAL PCS = " &amp; SUM(F359:F366)</f>
        <v>TOTAL PCS = 0</v>
      </c>
      <c r="C361" s="51"/>
      <c r="D361" s="75" t="s">
        <v>265</v>
      </c>
      <c r="E361" s="56">
        <v>13800</v>
      </c>
      <c r="F361" s="109">
        <f t="shared" ref="F361:F366" si="37">SUM(G361)</f>
        <v>0</v>
      </c>
      <c r="G361" s="105">
        <v>0</v>
      </c>
    </row>
    <row r="362" spans="1:7" x14ac:dyDescent="0.4">
      <c r="B362" s="14"/>
      <c r="C362" s="51"/>
      <c r="D362" s="84" t="s">
        <v>342</v>
      </c>
      <c r="E362" s="6">
        <v>13800</v>
      </c>
      <c r="F362" s="109">
        <f t="shared" si="37"/>
        <v>0</v>
      </c>
      <c r="G362" s="105">
        <v>0</v>
      </c>
    </row>
    <row r="363" spans="1:7" x14ac:dyDescent="0.4">
      <c r="B363" s="14"/>
      <c r="C363" s="51"/>
      <c r="D363" s="88" t="s">
        <v>295</v>
      </c>
      <c r="E363" s="6">
        <v>13800</v>
      </c>
      <c r="F363" s="109">
        <f t="shared" si="37"/>
        <v>0</v>
      </c>
      <c r="G363" s="105">
        <v>0</v>
      </c>
    </row>
    <row r="364" spans="1:7" x14ac:dyDescent="0.4">
      <c r="B364" s="14"/>
      <c r="C364" s="51"/>
      <c r="D364" s="89" t="s">
        <v>9</v>
      </c>
      <c r="E364" s="6">
        <v>16500</v>
      </c>
      <c r="F364" s="109">
        <f t="shared" si="37"/>
        <v>0</v>
      </c>
      <c r="G364" s="105">
        <v>0</v>
      </c>
    </row>
    <row r="365" spans="1:7" x14ac:dyDescent="0.4">
      <c r="B365" s="14"/>
      <c r="C365" s="51"/>
      <c r="D365" s="84" t="s">
        <v>343</v>
      </c>
      <c r="E365" s="6">
        <v>16500</v>
      </c>
      <c r="F365" s="109">
        <f t="shared" si="37"/>
        <v>0</v>
      </c>
      <c r="G365" s="105">
        <v>0</v>
      </c>
    </row>
    <row r="366" spans="1:7" ht="19.5" thickBot="1" x14ac:dyDescent="0.45">
      <c r="B366" s="15"/>
      <c r="C366" s="52"/>
      <c r="D366" s="85" t="s">
        <v>32</v>
      </c>
      <c r="E366" s="55">
        <v>16900</v>
      </c>
      <c r="F366" s="110">
        <f t="shared" si="37"/>
        <v>0</v>
      </c>
      <c r="G366" s="106">
        <v>0</v>
      </c>
    </row>
    <row r="367" spans="1:7" ht="19.5" thickBot="1" x14ac:dyDescent="0.45"/>
    <row r="368" spans="1:7" ht="19.5" thickBot="1" x14ac:dyDescent="0.45">
      <c r="A368" s="8">
        <v>51</v>
      </c>
      <c r="B368" s="33" t="s">
        <v>417</v>
      </c>
      <c r="C368" s="63" t="s">
        <v>16</v>
      </c>
      <c r="D368" s="83" t="s">
        <v>293</v>
      </c>
      <c r="E368" s="13">
        <v>15790</v>
      </c>
      <c r="F368" s="108">
        <f>SUM(G368)</f>
        <v>0</v>
      </c>
      <c r="G368" s="104">
        <v>0</v>
      </c>
    </row>
    <row r="369" spans="1:7" ht="19.5" thickBot="1" x14ac:dyDescent="0.45">
      <c r="B369" s="14"/>
      <c r="C369" s="51"/>
      <c r="D369" s="84" t="s">
        <v>294</v>
      </c>
      <c r="E369" s="13">
        <v>15790</v>
      </c>
      <c r="F369" s="109">
        <f>SUM(G369)</f>
        <v>1</v>
      </c>
      <c r="G369" s="105">
        <v>1</v>
      </c>
    </row>
    <row r="370" spans="1:7" x14ac:dyDescent="0.4">
      <c r="B370" s="14" t="str">
        <f>"TOTAL PCS = " &amp; SUM(F368:F375)</f>
        <v>TOTAL PCS = 2</v>
      </c>
      <c r="C370" s="51"/>
      <c r="D370" s="86" t="s">
        <v>265</v>
      </c>
      <c r="E370" s="56">
        <v>15790</v>
      </c>
      <c r="F370" s="109">
        <f t="shared" ref="F370:F375" si="38">SUM(G370)</f>
        <v>1</v>
      </c>
      <c r="G370" s="105">
        <v>1</v>
      </c>
    </row>
    <row r="371" spans="1:7" x14ac:dyDescent="0.4">
      <c r="B371" s="14"/>
      <c r="C371" s="51"/>
      <c r="D371" s="84" t="s">
        <v>342</v>
      </c>
      <c r="E371" s="6">
        <v>15790</v>
      </c>
      <c r="F371" s="109">
        <f t="shared" si="38"/>
        <v>0</v>
      </c>
      <c r="G371" s="105">
        <v>0</v>
      </c>
    </row>
    <row r="372" spans="1:7" x14ac:dyDescent="0.4">
      <c r="B372" s="14"/>
      <c r="C372" s="51"/>
      <c r="D372" s="75" t="s">
        <v>295</v>
      </c>
      <c r="E372" s="6">
        <v>15790</v>
      </c>
      <c r="F372" s="109">
        <f t="shared" si="38"/>
        <v>0</v>
      </c>
      <c r="G372" s="105">
        <v>0</v>
      </c>
    </row>
    <row r="373" spans="1:7" x14ac:dyDescent="0.4">
      <c r="B373" s="14"/>
      <c r="C373" s="51"/>
      <c r="D373" s="75" t="s">
        <v>9</v>
      </c>
      <c r="E373" s="6">
        <v>18890</v>
      </c>
      <c r="F373" s="109">
        <f t="shared" si="38"/>
        <v>0</v>
      </c>
      <c r="G373" s="105">
        <v>0</v>
      </c>
    </row>
    <row r="374" spans="1:7" x14ac:dyDescent="0.4">
      <c r="B374" s="14"/>
      <c r="C374" s="51"/>
      <c r="D374" s="84" t="s">
        <v>343</v>
      </c>
      <c r="E374" s="6">
        <v>18890</v>
      </c>
      <c r="F374" s="109">
        <f t="shared" si="38"/>
        <v>0</v>
      </c>
      <c r="G374" s="105">
        <v>0</v>
      </c>
    </row>
    <row r="375" spans="1:7" ht="19.5" thickBot="1" x14ac:dyDescent="0.45">
      <c r="B375" s="15"/>
      <c r="C375" s="52"/>
      <c r="D375" s="90" t="s">
        <v>32</v>
      </c>
      <c r="E375" s="55">
        <v>19390</v>
      </c>
      <c r="F375" s="110">
        <f t="shared" si="38"/>
        <v>0</v>
      </c>
      <c r="G375" s="106">
        <v>0</v>
      </c>
    </row>
    <row r="376" spans="1:7" ht="19.5" thickBot="1" x14ac:dyDescent="0.45"/>
    <row r="377" spans="1:7" ht="19.5" thickBot="1" x14ac:dyDescent="0.45">
      <c r="A377" s="8">
        <v>52</v>
      </c>
      <c r="B377" s="33" t="s">
        <v>596</v>
      </c>
      <c r="C377" s="63" t="s">
        <v>38</v>
      </c>
      <c r="D377" s="83" t="s">
        <v>293</v>
      </c>
      <c r="E377" s="13">
        <v>19900</v>
      </c>
      <c r="F377" s="108">
        <f>SUM(G377)</f>
        <v>0</v>
      </c>
      <c r="G377" s="104">
        <v>0</v>
      </c>
    </row>
    <row r="378" spans="1:7" ht="19.5" thickBot="1" x14ac:dyDescent="0.45">
      <c r="B378" s="14"/>
      <c r="C378" s="51"/>
      <c r="D378" s="84" t="s">
        <v>294</v>
      </c>
      <c r="E378" s="13">
        <v>19900</v>
      </c>
      <c r="F378" s="109">
        <f>SUM(G378)</f>
        <v>0</v>
      </c>
      <c r="G378" s="105">
        <v>0</v>
      </c>
    </row>
    <row r="379" spans="1:7" x14ac:dyDescent="0.4">
      <c r="B379" s="14" t="str">
        <f>"TOTAL PCS = " &amp; SUM(F377:F384)</f>
        <v>TOTAL PCS = 1</v>
      </c>
      <c r="C379" s="51"/>
      <c r="D379" s="86" t="s">
        <v>265</v>
      </c>
      <c r="E379" s="56">
        <v>19900</v>
      </c>
      <c r="F379" s="109">
        <f t="shared" ref="F379:F384" si="39">SUM(G379)</f>
        <v>0</v>
      </c>
      <c r="G379" s="105">
        <v>0</v>
      </c>
    </row>
    <row r="380" spans="1:7" x14ac:dyDescent="0.4">
      <c r="B380" s="14"/>
      <c r="C380" s="51"/>
      <c r="D380" s="84" t="s">
        <v>342</v>
      </c>
      <c r="E380" s="6">
        <v>19900</v>
      </c>
      <c r="F380" s="109">
        <f t="shared" si="39"/>
        <v>0</v>
      </c>
      <c r="G380" s="105">
        <v>0</v>
      </c>
    </row>
    <row r="381" spans="1:7" x14ac:dyDescent="0.4">
      <c r="B381" s="14"/>
      <c r="C381" s="51"/>
      <c r="D381" s="75" t="s">
        <v>295</v>
      </c>
      <c r="E381" s="6">
        <v>19900</v>
      </c>
      <c r="F381" s="109">
        <f t="shared" si="39"/>
        <v>0</v>
      </c>
      <c r="G381" s="105">
        <v>0</v>
      </c>
    </row>
    <row r="382" spans="1:7" x14ac:dyDescent="0.4">
      <c r="B382" s="14"/>
      <c r="C382" s="51"/>
      <c r="D382" s="75" t="s">
        <v>9</v>
      </c>
      <c r="E382" s="6">
        <v>22900</v>
      </c>
      <c r="F382" s="109">
        <f t="shared" si="39"/>
        <v>0</v>
      </c>
      <c r="G382" s="105">
        <v>0</v>
      </c>
    </row>
    <row r="383" spans="1:7" x14ac:dyDescent="0.4">
      <c r="B383" s="14"/>
      <c r="C383" s="51"/>
      <c r="D383" s="84" t="s">
        <v>343</v>
      </c>
      <c r="E383" s="6">
        <v>22900</v>
      </c>
      <c r="F383" s="109">
        <f t="shared" si="39"/>
        <v>0</v>
      </c>
      <c r="G383" s="105">
        <v>0</v>
      </c>
    </row>
    <row r="384" spans="1:7" ht="19.5" thickBot="1" x14ac:dyDescent="0.45">
      <c r="B384" s="15"/>
      <c r="C384" s="52"/>
      <c r="D384" s="90" t="s">
        <v>32</v>
      </c>
      <c r="E384" s="55">
        <v>23300</v>
      </c>
      <c r="F384" s="110">
        <f t="shared" si="39"/>
        <v>1</v>
      </c>
      <c r="G384" s="106">
        <v>1</v>
      </c>
    </row>
    <row r="385" spans="1:7" ht="19.5" thickBot="1" x14ac:dyDescent="0.45"/>
    <row r="386" spans="1:7" ht="19.5" thickBot="1" x14ac:dyDescent="0.45">
      <c r="A386" s="8">
        <v>53</v>
      </c>
      <c r="B386" s="33" t="s">
        <v>539</v>
      </c>
      <c r="C386" s="63" t="s">
        <v>16</v>
      </c>
      <c r="D386" s="83" t="s">
        <v>293</v>
      </c>
      <c r="E386" s="13">
        <v>15600</v>
      </c>
      <c r="F386" s="108">
        <f>SUM(G386)</f>
        <v>0</v>
      </c>
      <c r="G386" s="104">
        <v>0</v>
      </c>
    </row>
    <row r="387" spans="1:7" ht="19.5" thickBot="1" x14ac:dyDescent="0.45">
      <c r="B387" s="14"/>
      <c r="C387" s="51"/>
      <c r="D387" s="84" t="s">
        <v>294</v>
      </c>
      <c r="E387" s="13">
        <v>15600</v>
      </c>
      <c r="F387" s="109">
        <f>SUM(G387)</f>
        <v>0</v>
      </c>
      <c r="G387" s="105">
        <v>0</v>
      </c>
    </row>
    <row r="388" spans="1:7" x14ac:dyDescent="0.4">
      <c r="B388" s="14" t="str">
        <f>"TOTAL PCS = " &amp; SUM(F386:F393)</f>
        <v>TOTAL PCS = 1</v>
      </c>
      <c r="C388" s="51"/>
      <c r="D388" s="86" t="s">
        <v>265</v>
      </c>
      <c r="E388" s="56">
        <v>15600</v>
      </c>
      <c r="F388" s="109">
        <f t="shared" ref="F388:F393" si="40">SUM(G388)</f>
        <v>1</v>
      </c>
      <c r="G388" s="105">
        <v>1</v>
      </c>
    </row>
    <row r="389" spans="1:7" x14ac:dyDescent="0.4">
      <c r="B389" s="14"/>
      <c r="C389" s="51"/>
      <c r="D389" s="84" t="s">
        <v>342</v>
      </c>
      <c r="E389" s="6">
        <v>15600</v>
      </c>
      <c r="F389" s="109">
        <f t="shared" si="40"/>
        <v>0</v>
      </c>
      <c r="G389" s="105">
        <v>0</v>
      </c>
    </row>
    <row r="390" spans="1:7" x14ac:dyDescent="0.4">
      <c r="B390" s="14"/>
      <c r="C390" s="51"/>
      <c r="D390" s="87" t="s">
        <v>295</v>
      </c>
      <c r="E390" s="11">
        <v>15600</v>
      </c>
      <c r="F390" s="109">
        <f t="shared" si="40"/>
        <v>0</v>
      </c>
      <c r="G390" s="105">
        <v>0</v>
      </c>
    </row>
    <row r="391" spans="1:7" x14ac:dyDescent="0.4">
      <c r="B391" s="14"/>
      <c r="C391" s="51"/>
      <c r="D391" s="84" t="s">
        <v>9</v>
      </c>
      <c r="E391" s="6">
        <v>18500</v>
      </c>
      <c r="F391" s="109">
        <f t="shared" si="40"/>
        <v>0</v>
      </c>
      <c r="G391" s="105">
        <v>0</v>
      </c>
    </row>
    <row r="392" spans="1:7" x14ac:dyDescent="0.4">
      <c r="B392" s="14"/>
      <c r="C392" s="51"/>
      <c r="D392" s="84" t="s">
        <v>343</v>
      </c>
      <c r="E392" s="6">
        <v>18500</v>
      </c>
      <c r="F392" s="109">
        <f t="shared" si="40"/>
        <v>0</v>
      </c>
      <c r="G392" s="105">
        <v>0</v>
      </c>
    </row>
    <row r="393" spans="1:7" ht="19.5" thickBot="1" x14ac:dyDescent="0.45">
      <c r="B393" s="15"/>
      <c r="C393" s="52"/>
      <c r="D393" s="85" t="s">
        <v>32</v>
      </c>
      <c r="E393" s="17">
        <v>18900</v>
      </c>
      <c r="F393" s="110">
        <f t="shared" si="40"/>
        <v>0</v>
      </c>
      <c r="G393" s="106">
        <v>0</v>
      </c>
    </row>
    <row r="394" spans="1:7" ht="19.5" thickBot="1" x14ac:dyDescent="0.45"/>
    <row r="395" spans="1:7" x14ac:dyDescent="0.4">
      <c r="A395" s="8">
        <v>54</v>
      </c>
      <c r="B395" s="49" t="s">
        <v>540</v>
      </c>
      <c r="C395" s="50" t="s">
        <v>38</v>
      </c>
      <c r="D395" s="83" t="s">
        <v>293</v>
      </c>
      <c r="E395" s="13">
        <v>51390</v>
      </c>
      <c r="F395" s="108">
        <f>SUM(G395)</f>
        <v>0</v>
      </c>
      <c r="G395" s="104">
        <v>0</v>
      </c>
    </row>
    <row r="396" spans="1:7" x14ac:dyDescent="0.4">
      <c r="B396" s="14"/>
      <c r="C396" s="51"/>
      <c r="D396" s="84" t="s">
        <v>294</v>
      </c>
      <c r="E396" s="6">
        <v>51390</v>
      </c>
      <c r="F396" s="109">
        <f>SUM(G396)</f>
        <v>0</v>
      </c>
      <c r="G396" s="105">
        <v>0</v>
      </c>
    </row>
    <row r="397" spans="1:7" x14ac:dyDescent="0.4">
      <c r="B397" s="14" t="str">
        <f>"TOTAL PCS = " &amp; SUM(F395:F402)</f>
        <v>TOTAL PCS = 1</v>
      </c>
      <c r="C397" s="51"/>
      <c r="D397" s="84" t="s">
        <v>265</v>
      </c>
      <c r="E397" s="6">
        <v>51390</v>
      </c>
      <c r="F397" s="109">
        <f t="shared" ref="F397:F402" si="41">SUM(G397)</f>
        <v>0</v>
      </c>
      <c r="G397" s="105">
        <v>0</v>
      </c>
    </row>
    <row r="398" spans="1:7" x14ac:dyDescent="0.4">
      <c r="B398" s="14"/>
      <c r="C398" s="51"/>
      <c r="D398" s="84" t="s">
        <v>342</v>
      </c>
      <c r="E398" s="6">
        <v>51390</v>
      </c>
      <c r="F398" s="109">
        <f t="shared" si="41"/>
        <v>0</v>
      </c>
      <c r="G398" s="105">
        <v>0</v>
      </c>
    </row>
    <row r="399" spans="1:7" x14ac:dyDescent="0.4">
      <c r="B399" s="14"/>
      <c r="C399" s="51"/>
      <c r="D399" s="84" t="s">
        <v>295</v>
      </c>
      <c r="E399" s="6">
        <v>51390</v>
      </c>
      <c r="F399" s="109">
        <f t="shared" si="41"/>
        <v>0</v>
      </c>
      <c r="G399" s="105">
        <v>0</v>
      </c>
    </row>
    <row r="400" spans="1:7" x14ac:dyDescent="0.4">
      <c r="B400" s="14"/>
      <c r="C400" s="51"/>
      <c r="D400" s="84" t="s">
        <v>9</v>
      </c>
      <c r="E400" s="6">
        <v>51390</v>
      </c>
      <c r="F400" s="109">
        <f t="shared" si="41"/>
        <v>0</v>
      </c>
      <c r="G400" s="105">
        <v>0</v>
      </c>
    </row>
    <row r="401" spans="1:7" x14ac:dyDescent="0.4">
      <c r="B401" s="14"/>
      <c r="C401" s="51"/>
      <c r="D401" s="84" t="s">
        <v>343</v>
      </c>
      <c r="E401" s="6">
        <v>51390</v>
      </c>
      <c r="F401" s="109">
        <f t="shared" si="41"/>
        <v>1</v>
      </c>
      <c r="G401" s="105">
        <v>1</v>
      </c>
    </row>
    <row r="402" spans="1:7" ht="19.5" thickBot="1" x14ac:dyDescent="0.45">
      <c r="B402" s="15"/>
      <c r="C402" s="52"/>
      <c r="D402" s="85" t="s">
        <v>32</v>
      </c>
      <c r="E402" s="17">
        <v>51390</v>
      </c>
      <c r="F402" s="110">
        <f t="shared" si="41"/>
        <v>0</v>
      </c>
      <c r="G402" s="106">
        <v>0</v>
      </c>
    </row>
    <row r="403" spans="1:7" ht="19.5" thickBot="1" x14ac:dyDescent="0.45">
      <c r="D403" s="48"/>
    </row>
    <row r="404" spans="1:7" x14ac:dyDescent="0.4">
      <c r="A404" s="8">
        <v>55</v>
      </c>
      <c r="B404" s="33" t="s">
        <v>416</v>
      </c>
      <c r="C404" s="34" t="s">
        <v>348</v>
      </c>
      <c r="D404" s="46" t="s">
        <v>293</v>
      </c>
      <c r="E404" s="13">
        <v>21790</v>
      </c>
      <c r="F404" s="108">
        <f>SUM(G404)</f>
        <v>0</v>
      </c>
      <c r="G404" s="104">
        <v>0</v>
      </c>
    </row>
    <row r="405" spans="1:7" x14ac:dyDescent="0.4">
      <c r="B405" s="14"/>
      <c r="D405" s="75" t="s">
        <v>294</v>
      </c>
      <c r="E405" s="6">
        <v>21790</v>
      </c>
      <c r="F405" s="109">
        <f>SUM(G405)</f>
        <v>0</v>
      </c>
      <c r="G405" s="105">
        <v>0</v>
      </c>
    </row>
    <row r="406" spans="1:7" x14ac:dyDescent="0.4">
      <c r="B406" s="14" t="str">
        <f>"TOTAL PCS = " &amp; SUM(F404:F411)</f>
        <v>TOTAL PCS = 2</v>
      </c>
      <c r="D406" s="75" t="s">
        <v>265</v>
      </c>
      <c r="E406" s="6">
        <v>21790</v>
      </c>
      <c r="F406" s="109">
        <f t="shared" ref="F406:F411" si="42">SUM(G406)</f>
        <v>1</v>
      </c>
      <c r="G406" s="105">
        <v>1</v>
      </c>
    </row>
    <row r="407" spans="1:7" x14ac:dyDescent="0.4">
      <c r="B407" s="14"/>
      <c r="D407" s="75" t="s">
        <v>342</v>
      </c>
      <c r="E407" s="6">
        <v>21790</v>
      </c>
      <c r="F407" s="109">
        <f t="shared" si="42"/>
        <v>1</v>
      </c>
      <c r="G407" s="105">
        <v>1</v>
      </c>
    </row>
    <row r="408" spans="1:7" x14ac:dyDescent="0.4">
      <c r="B408" s="14"/>
      <c r="D408" s="75" t="s">
        <v>295</v>
      </c>
      <c r="E408" s="6">
        <v>21790</v>
      </c>
      <c r="F408" s="109">
        <f t="shared" si="42"/>
        <v>0</v>
      </c>
      <c r="G408" s="105">
        <v>0</v>
      </c>
    </row>
    <row r="409" spans="1:7" x14ac:dyDescent="0.4">
      <c r="B409" s="14"/>
      <c r="D409" s="75" t="s">
        <v>9</v>
      </c>
      <c r="E409" s="6">
        <v>24890</v>
      </c>
      <c r="F409" s="109">
        <f t="shared" si="42"/>
        <v>0</v>
      </c>
      <c r="G409" s="105">
        <v>0</v>
      </c>
    </row>
    <row r="410" spans="1:7" x14ac:dyDescent="0.4">
      <c r="B410" s="14"/>
      <c r="D410" s="75" t="s">
        <v>343</v>
      </c>
      <c r="E410" s="6">
        <v>24890</v>
      </c>
      <c r="F410" s="109">
        <f t="shared" si="42"/>
        <v>0</v>
      </c>
      <c r="G410" s="105">
        <v>0</v>
      </c>
    </row>
    <row r="411" spans="1:7" ht="19.5" thickBot="1" x14ac:dyDescent="0.45">
      <c r="B411" s="15"/>
      <c r="C411" s="16"/>
      <c r="D411" s="47" t="s">
        <v>32</v>
      </c>
      <c r="E411" s="17">
        <v>25190</v>
      </c>
      <c r="F411" s="110">
        <f t="shared" si="42"/>
        <v>0</v>
      </c>
      <c r="G411" s="106">
        <v>0</v>
      </c>
    </row>
    <row r="412" spans="1:7" ht="19.5" thickBot="1" x14ac:dyDescent="0.45">
      <c r="D412" s="93"/>
    </row>
    <row r="413" spans="1:7" ht="19.5" thickBot="1" x14ac:dyDescent="0.45">
      <c r="A413" s="8">
        <v>56</v>
      </c>
      <c r="B413" s="26" t="s">
        <v>415</v>
      </c>
      <c r="C413" s="27" t="s">
        <v>348</v>
      </c>
      <c r="D413" s="82" t="s">
        <v>264</v>
      </c>
      <c r="E413" s="28">
        <v>27690</v>
      </c>
      <c r="F413" s="119">
        <f>SUM(G413)</f>
        <v>1</v>
      </c>
      <c r="G413" s="111">
        <v>1</v>
      </c>
    </row>
    <row r="414" spans="1:7" ht="19.5" thickBot="1" x14ac:dyDescent="0.45">
      <c r="D414" s="93"/>
    </row>
    <row r="415" spans="1:7" x14ac:dyDescent="0.4">
      <c r="A415" s="8">
        <v>57</v>
      </c>
      <c r="B415" s="33" t="s">
        <v>414</v>
      </c>
      <c r="C415" s="94" t="s">
        <v>48</v>
      </c>
      <c r="D415" s="46" t="s">
        <v>47</v>
      </c>
      <c r="E415" s="13">
        <v>15390</v>
      </c>
      <c r="F415" s="108">
        <f>SUM(G415)</f>
        <v>3</v>
      </c>
      <c r="G415" s="104">
        <v>3</v>
      </c>
    </row>
    <row r="416" spans="1:7" ht="19.5" thickBot="1" x14ac:dyDescent="0.45">
      <c r="B416" s="15" t="str">
        <f>"TOTAL PCS = " &amp; SUM(F415:F416)</f>
        <v>TOTAL PCS = 4</v>
      </c>
      <c r="C416" s="95"/>
      <c r="D416" s="47" t="s">
        <v>46</v>
      </c>
      <c r="E416" s="17">
        <v>19190</v>
      </c>
      <c r="F416" s="110">
        <f>SUM(G416)</f>
        <v>1</v>
      </c>
      <c r="G416" s="106">
        <v>1</v>
      </c>
    </row>
    <row r="417" spans="1:7" ht="19.5" thickBot="1" x14ac:dyDescent="0.45">
      <c r="D417" s="93"/>
    </row>
    <row r="418" spans="1:7" ht="19.5" thickBot="1" x14ac:dyDescent="0.45">
      <c r="A418" s="8">
        <v>58</v>
      </c>
      <c r="B418" s="26" t="s">
        <v>413</v>
      </c>
      <c r="C418" s="27" t="s">
        <v>48</v>
      </c>
      <c r="D418" s="82" t="s">
        <v>349</v>
      </c>
      <c r="E418" s="28">
        <v>17490</v>
      </c>
      <c r="F418" s="119">
        <f>SUM(G418)</f>
        <v>1</v>
      </c>
      <c r="G418" s="111">
        <v>1</v>
      </c>
    </row>
    <row r="419" spans="1:7" ht="19.5" thickBot="1" x14ac:dyDescent="0.45">
      <c r="D419" s="93"/>
    </row>
    <row r="420" spans="1:7" ht="19.5" thickBot="1" x14ac:dyDescent="0.45">
      <c r="A420" s="8">
        <v>59</v>
      </c>
      <c r="B420" s="26" t="s">
        <v>412</v>
      </c>
      <c r="C420" s="27" t="s">
        <v>350</v>
      </c>
      <c r="D420" s="82" t="s">
        <v>264</v>
      </c>
      <c r="E420" s="28">
        <v>22790</v>
      </c>
      <c r="F420" s="119">
        <f>SUM(G420)</f>
        <v>1</v>
      </c>
      <c r="G420" s="111">
        <v>1</v>
      </c>
    </row>
    <row r="421" spans="1:7" x14ac:dyDescent="0.4">
      <c r="D421" s="48"/>
    </row>
    <row r="422" spans="1:7" ht="19.5" thickBot="1" x14ac:dyDescent="0.45">
      <c r="A422" s="32" t="s">
        <v>49</v>
      </c>
      <c r="D422" s="90"/>
    </row>
    <row r="423" spans="1:7" x14ac:dyDescent="0.4">
      <c r="A423" s="8">
        <v>1</v>
      </c>
      <c r="B423" s="35" t="s">
        <v>303</v>
      </c>
      <c r="C423" s="34" t="s">
        <v>50</v>
      </c>
      <c r="D423" s="46" t="s">
        <v>51</v>
      </c>
      <c r="E423" s="13">
        <v>19950</v>
      </c>
      <c r="F423" s="108">
        <f>SUM(G423)</f>
        <v>0</v>
      </c>
      <c r="G423" s="104">
        <v>0</v>
      </c>
    </row>
    <row r="424" spans="1:7" ht="19.5" thickBot="1" x14ac:dyDescent="0.45">
      <c r="B424" s="15" t="str">
        <f>"TOTAL PCS = " &amp; SUM(F423:F424)</f>
        <v>TOTAL PCS = 0</v>
      </c>
      <c r="C424" s="16"/>
      <c r="D424" s="47" t="s">
        <v>27</v>
      </c>
      <c r="E424" s="17">
        <v>26550</v>
      </c>
      <c r="F424" s="110">
        <f>SUM(G424)</f>
        <v>0</v>
      </c>
      <c r="G424" s="106">
        <v>0</v>
      </c>
    </row>
    <row r="425" spans="1:7" ht="19.5" thickBot="1" x14ac:dyDescent="0.45">
      <c r="D425" s="48"/>
    </row>
    <row r="426" spans="1:7" ht="32.25" x14ac:dyDescent="0.4">
      <c r="A426" s="8">
        <v>2</v>
      </c>
      <c r="B426" s="35" t="s">
        <v>304</v>
      </c>
      <c r="C426" s="34" t="s">
        <v>52</v>
      </c>
      <c r="D426" s="46" t="s">
        <v>51</v>
      </c>
      <c r="E426" s="13">
        <v>21000</v>
      </c>
      <c r="F426" s="108">
        <f>SUM(G426)</f>
        <v>0</v>
      </c>
      <c r="G426" s="104">
        <v>0</v>
      </c>
    </row>
    <row r="427" spans="1:7" ht="19.5" thickBot="1" x14ac:dyDescent="0.45">
      <c r="B427" s="15" t="str">
        <f>"TOTAL PCS = " &amp; SUM(F426:F427)</f>
        <v>TOTAL PCS = 0</v>
      </c>
      <c r="C427" s="16"/>
      <c r="D427" s="47" t="s">
        <v>27</v>
      </c>
      <c r="E427" s="17">
        <v>28500</v>
      </c>
      <c r="F427" s="110">
        <f>SUM(G427)</f>
        <v>0</v>
      </c>
      <c r="G427" s="106">
        <v>0</v>
      </c>
    </row>
    <row r="428" spans="1:7" ht="19.5" thickBot="1" x14ac:dyDescent="0.45">
      <c r="D428" s="48"/>
    </row>
    <row r="429" spans="1:7" ht="32.25" x14ac:dyDescent="0.4">
      <c r="A429" s="8">
        <v>3</v>
      </c>
      <c r="B429" s="35" t="s">
        <v>305</v>
      </c>
      <c r="C429" s="34" t="s">
        <v>53</v>
      </c>
      <c r="D429" s="46" t="s">
        <v>51</v>
      </c>
      <c r="E429" s="13">
        <v>22150</v>
      </c>
      <c r="F429" s="108">
        <f>SUM(G429)</f>
        <v>2</v>
      </c>
      <c r="G429" s="104">
        <v>2</v>
      </c>
    </row>
    <row r="430" spans="1:7" ht="19.5" thickBot="1" x14ac:dyDescent="0.45">
      <c r="B430" s="15" t="str">
        <f>"TOTAL PCS = " &amp; SUM(F429:F430)</f>
        <v>TOTAL PCS = 2</v>
      </c>
      <c r="C430" s="16"/>
      <c r="D430" s="47" t="s">
        <v>27</v>
      </c>
      <c r="E430" s="17">
        <v>30900</v>
      </c>
      <c r="F430" s="110">
        <f>SUM(G430)</f>
        <v>0</v>
      </c>
      <c r="G430" s="106">
        <v>0</v>
      </c>
    </row>
    <row r="431" spans="1:7" ht="19.5" thickBot="1" x14ac:dyDescent="0.45">
      <c r="D431" s="48"/>
      <c r="F431" s="96" t="s">
        <v>285</v>
      </c>
    </row>
    <row r="432" spans="1:7" ht="32.25" x14ac:dyDescent="0.4">
      <c r="A432" s="8">
        <v>4</v>
      </c>
      <c r="B432" s="35" t="s">
        <v>306</v>
      </c>
      <c r="C432" s="34" t="s">
        <v>50</v>
      </c>
      <c r="D432" s="46" t="s">
        <v>54</v>
      </c>
      <c r="E432" s="13">
        <v>47400</v>
      </c>
      <c r="F432" s="108">
        <f>SUM(G432)</f>
        <v>0</v>
      </c>
      <c r="G432" s="104">
        <v>0</v>
      </c>
    </row>
    <row r="433" spans="1:7" x14ac:dyDescent="0.4">
      <c r="B433" s="14"/>
      <c r="D433" s="75" t="s">
        <v>55</v>
      </c>
      <c r="E433" s="6">
        <v>39500</v>
      </c>
      <c r="F433" s="109">
        <f>SUM(G433)</f>
        <v>1</v>
      </c>
      <c r="G433" s="105">
        <v>1</v>
      </c>
    </row>
    <row r="434" spans="1:7" ht="19.5" thickBot="1" x14ac:dyDescent="0.45">
      <c r="B434" s="15" t="str">
        <f>"TOTAL PCS = " &amp; SUM(F432:F434)</f>
        <v>TOTAL PCS = 1</v>
      </c>
      <c r="C434" s="16"/>
      <c r="D434" s="47" t="s">
        <v>56</v>
      </c>
      <c r="E434" s="17">
        <v>34900</v>
      </c>
      <c r="F434" s="110">
        <f>SUM(G434)</f>
        <v>0</v>
      </c>
      <c r="G434" s="106">
        <v>0</v>
      </c>
    </row>
    <row r="435" spans="1:7" ht="19.5" thickBot="1" x14ac:dyDescent="0.45">
      <c r="D435" s="48"/>
    </row>
    <row r="436" spans="1:7" ht="32.25" x14ac:dyDescent="0.4">
      <c r="A436" s="8">
        <v>5</v>
      </c>
      <c r="B436" s="35" t="s">
        <v>307</v>
      </c>
      <c r="C436" s="92" t="s">
        <v>52</v>
      </c>
      <c r="D436" s="46" t="s">
        <v>54</v>
      </c>
      <c r="E436" s="13">
        <v>48500</v>
      </c>
      <c r="F436" s="108">
        <f>SUM(G436)</f>
        <v>0</v>
      </c>
      <c r="G436" s="104">
        <v>0</v>
      </c>
    </row>
    <row r="437" spans="1:7" x14ac:dyDescent="0.4">
      <c r="B437" s="14"/>
      <c r="D437" s="75" t="s">
        <v>55</v>
      </c>
      <c r="E437" s="6">
        <v>40600</v>
      </c>
      <c r="F437" s="109">
        <f>SUM(G437)</f>
        <v>0</v>
      </c>
      <c r="G437" s="105">
        <v>0</v>
      </c>
    </row>
    <row r="438" spans="1:7" ht="19.5" thickBot="1" x14ac:dyDescent="0.45">
      <c r="B438" s="15" t="str">
        <f>"TOTAL PCS = " &amp; SUM(F436:F438)</f>
        <v>TOTAL PCS = 3</v>
      </c>
      <c r="C438" s="16"/>
      <c r="D438" s="47" t="s">
        <v>56</v>
      </c>
      <c r="E438" s="17">
        <v>36000</v>
      </c>
      <c r="F438" s="110">
        <f>SUM(G438)</f>
        <v>3</v>
      </c>
      <c r="G438" s="106">
        <v>3</v>
      </c>
    </row>
    <row r="439" spans="1:7" ht="19.5" thickBot="1" x14ac:dyDescent="0.45">
      <c r="D439" s="48"/>
    </row>
    <row r="440" spans="1:7" ht="32.25" x14ac:dyDescent="0.4">
      <c r="A440" s="8">
        <v>6</v>
      </c>
      <c r="B440" s="35" t="s">
        <v>308</v>
      </c>
      <c r="C440" s="92" t="s">
        <v>53</v>
      </c>
      <c r="D440" s="46" t="s">
        <v>54</v>
      </c>
      <c r="E440" s="13">
        <v>50200</v>
      </c>
      <c r="F440" s="108">
        <f>SUM(G440)</f>
        <v>0</v>
      </c>
      <c r="G440" s="104">
        <v>0</v>
      </c>
    </row>
    <row r="441" spans="1:7" x14ac:dyDescent="0.4">
      <c r="B441" s="14"/>
      <c r="D441" s="75" t="s">
        <v>55</v>
      </c>
      <c r="E441" s="6">
        <v>42300</v>
      </c>
      <c r="F441" s="109">
        <f>SUM(G441)</f>
        <v>2</v>
      </c>
      <c r="G441" s="105">
        <v>2</v>
      </c>
    </row>
    <row r="442" spans="1:7" ht="19.5" thickBot="1" x14ac:dyDescent="0.45">
      <c r="B442" s="15" t="str">
        <f>"TOTAL PCS = " &amp; SUM(F440:F442)</f>
        <v>TOTAL PCS = 6</v>
      </c>
      <c r="C442" s="16"/>
      <c r="D442" s="47" t="s">
        <v>56</v>
      </c>
      <c r="E442" s="17">
        <v>37700</v>
      </c>
      <c r="F442" s="110">
        <f>SUM(G442)</f>
        <v>4</v>
      </c>
      <c r="G442" s="106">
        <v>4</v>
      </c>
    </row>
    <row r="443" spans="1:7" ht="19.5" thickBot="1" x14ac:dyDescent="0.45">
      <c r="D443" s="48"/>
    </row>
    <row r="444" spans="1:7" ht="19.5" thickBot="1" x14ac:dyDescent="0.45">
      <c r="A444" s="8">
        <v>7</v>
      </c>
      <c r="B444" s="36" t="s">
        <v>309</v>
      </c>
      <c r="C444" s="37" t="s">
        <v>57</v>
      </c>
      <c r="D444" s="82" t="s">
        <v>51</v>
      </c>
      <c r="E444" s="38">
        <v>104800</v>
      </c>
      <c r="F444" s="120">
        <f>SUM(G444)</f>
        <v>1</v>
      </c>
      <c r="G444" s="111">
        <v>1</v>
      </c>
    </row>
    <row r="445" spans="1:7" ht="19.5" thickBot="1" x14ac:dyDescent="0.45">
      <c r="D445" s="48"/>
    </row>
    <row r="446" spans="1:7" ht="32.25" x14ac:dyDescent="0.4">
      <c r="A446" s="8">
        <v>8</v>
      </c>
      <c r="B446" s="35" t="s">
        <v>310</v>
      </c>
      <c r="C446" s="34" t="s">
        <v>58</v>
      </c>
      <c r="D446" s="46" t="s">
        <v>59</v>
      </c>
      <c r="E446" s="13">
        <v>38500</v>
      </c>
      <c r="F446" s="108">
        <f>SUM(G446)</f>
        <v>0</v>
      </c>
      <c r="G446" s="104">
        <v>0</v>
      </c>
    </row>
    <row r="447" spans="1:7" ht="19.5" thickBot="1" x14ac:dyDescent="0.45">
      <c r="B447" s="15" t="str">
        <f>"TOTAL PCS = " &amp; SUM(F446:F447)</f>
        <v>TOTAL PCS = 0</v>
      </c>
      <c r="C447" s="16"/>
      <c r="D447" s="47" t="s">
        <v>60</v>
      </c>
      <c r="E447" s="17">
        <v>21000</v>
      </c>
      <c r="F447" s="110">
        <f>SUM(G447)</f>
        <v>0</v>
      </c>
      <c r="G447" s="106">
        <v>0</v>
      </c>
    </row>
    <row r="448" spans="1:7" ht="19.5" thickBot="1" x14ac:dyDescent="0.45">
      <c r="D448" s="48"/>
    </row>
    <row r="449" spans="1:7" x14ac:dyDescent="0.4">
      <c r="A449" s="8">
        <v>9</v>
      </c>
      <c r="B449" s="33" t="s">
        <v>379</v>
      </c>
      <c r="C449" s="12" t="s">
        <v>61</v>
      </c>
      <c r="D449" s="46" t="s">
        <v>62</v>
      </c>
      <c r="E449" s="13">
        <v>62900</v>
      </c>
      <c r="F449" s="108">
        <f>SUM(G449)</f>
        <v>0</v>
      </c>
      <c r="G449" s="104">
        <v>0</v>
      </c>
    </row>
    <row r="450" spans="1:7" ht="19.5" thickBot="1" x14ac:dyDescent="0.45">
      <c r="B450" s="15" t="str">
        <f>"TOTAL PCS = " &amp; SUM(F449:F450)</f>
        <v>TOTAL PCS = 0</v>
      </c>
      <c r="C450" s="16"/>
      <c r="D450" s="47" t="s">
        <v>63</v>
      </c>
      <c r="E450" s="17">
        <v>104900</v>
      </c>
      <c r="F450" s="110">
        <f>SUM(G450)</f>
        <v>0</v>
      </c>
      <c r="G450" s="106">
        <v>0</v>
      </c>
    </row>
    <row r="451" spans="1:7" ht="19.5" thickBot="1" x14ac:dyDescent="0.45">
      <c r="D451" s="48"/>
    </row>
    <row r="452" spans="1:7" x14ac:dyDescent="0.4">
      <c r="A452" s="8">
        <v>10</v>
      </c>
      <c r="B452" s="35" t="s">
        <v>64</v>
      </c>
      <c r="C452" s="34" t="s">
        <v>65</v>
      </c>
      <c r="D452" s="46" t="s">
        <v>66</v>
      </c>
      <c r="E452" s="13">
        <v>13000</v>
      </c>
      <c r="F452" s="108">
        <f>SUM(G452)</f>
        <v>0</v>
      </c>
      <c r="G452" s="104">
        <v>0</v>
      </c>
    </row>
    <row r="453" spans="1:7" ht="19.5" thickBot="1" x14ac:dyDescent="0.45">
      <c r="B453" s="15" t="str">
        <f>"TOTAL PCS = " &amp; SUM(F452:F453)</f>
        <v>TOTAL PCS = 0</v>
      </c>
      <c r="C453" s="16"/>
      <c r="D453" s="47" t="s">
        <v>71</v>
      </c>
      <c r="E453" s="17">
        <v>13000</v>
      </c>
      <c r="F453" s="110">
        <f>SUM(G453)</f>
        <v>0</v>
      </c>
      <c r="G453" s="106">
        <v>0</v>
      </c>
    </row>
    <row r="454" spans="1:7" ht="19.5" thickBot="1" x14ac:dyDescent="0.45">
      <c r="D454" s="48"/>
    </row>
    <row r="455" spans="1:7" x14ac:dyDescent="0.4">
      <c r="A455" s="8">
        <v>11</v>
      </c>
      <c r="B455" s="33" t="s">
        <v>67</v>
      </c>
      <c r="C455" s="34" t="s">
        <v>68</v>
      </c>
      <c r="D455" s="46" t="s">
        <v>66</v>
      </c>
      <c r="E455" s="13">
        <v>16500</v>
      </c>
      <c r="F455" s="108">
        <f>SUM(G455)</f>
        <v>0</v>
      </c>
      <c r="G455" s="104">
        <v>0</v>
      </c>
    </row>
    <row r="456" spans="1:7" ht="19.5" thickBot="1" x14ac:dyDescent="0.45">
      <c r="B456" s="15" t="str">
        <f>"TOTAL PCS = " &amp; SUM(F455:F456)</f>
        <v>TOTAL PCS = 0</v>
      </c>
      <c r="C456" s="16"/>
      <c r="D456" s="47" t="s">
        <v>71</v>
      </c>
      <c r="E456" s="17">
        <v>16500</v>
      </c>
      <c r="F456" s="110">
        <f>SUM(G456)</f>
        <v>0</v>
      </c>
      <c r="G456" s="106">
        <v>0</v>
      </c>
    </row>
    <row r="457" spans="1:7" ht="19.5" thickBot="1" x14ac:dyDescent="0.45">
      <c r="D457" s="48"/>
    </row>
    <row r="458" spans="1:7" x14ac:dyDescent="0.4">
      <c r="A458" s="8">
        <v>12</v>
      </c>
      <c r="B458" s="33" t="s">
        <v>69</v>
      </c>
      <c r="C458" s="34" t="s">
        <v>70</v>
      </c>
      <c r="D458" s="46" t="s">
        <v>66</v>
      </c>
      <c r="E458" s="13">
        <v>17650</v>
      </c>
      <c r="F458" s="108">
        <f>SUM(G458)</f>
        <v>1</v>
      </c>
      <c r="G458" s="104">
        <v>1</v>
      </c>
    </row>
    <row r="459" spans="1:7" ht="19.5" thickBot="1" x14ac:dyDescent="0.45">
      <c r="B459" s="15" t="str">
        <f>"TOTAL PCS = " &amp; SUM(F458:F459)</f>
        <v>TOTAL PCS = 1</v>
      </c>
      <c r="C459" s="16"/>
      <c r="D459" s="47" t="s">
        <v>71</v>
      </c>
      <c r="E459" s="17">
        <v>17650</v>
      </c>
      <c r="F459" s="110">
        <f>SUM(G459)</f>
        <v>0</v>
      </c>
      <c r="G459" s="106">
        <v>0</v>
      </c>
    </row>
    <row r="460" spans="1:7" ht="19.5" thickBot="1" x14ac:dyDescent="0.45">
      <c r="D460" s="48"/>
    </row>
    <row r="461" spans="1:7" x14ac:dyDescent="0.4">
      <c r="A461" s="8">
        <v>13</v>
      </c>
      <c r="B461" s="33" t="s">
        <v>72</v>
      </c>
      <c r="C461" s="34" t="s">
        <v>73</v>
      </c>
      <c r="D461" s="46" t="s">
        <v>66</v>
      </c>
      <c r="E461" s="13">
        <v>24250</v>
      </c>
      <c r="F461" s="108">
        <f>SUM(G461)</f>
        <v>0</v>
      </c>
      <c r="G461" s="104">
        <v>0</v>
      </c>
    </row>
    <row r="462" spans="1:7" ht="19.5" thickBot="1" x14ac:dyDescent="0.45">
      <c r="B462" s="15" t="str">
        <f>"TOTAL PCS = " &amp; SUM(F461:F462)</f>
        <v>TOTAL PCS = 0</v>
      </c>
      <c r="C462" s="16"/>
      <c r="D462" s="47" t="s">
        <v>71</v>
      </c>
      <c r="E462" s="17">
        <v>24250</v>
      </c>
      <c r="F462" s="110">
        <f>SUM(G462)</f>
        <v>0</v>
      </c>
      <c r="G462" s="106">
        <v>0</v>
      </c>
    </row>
    <row r="463" spans="1:7" ht="19.5" thickBot="1" x14ac:dyDescent="0.45">
      <c r="D463" s="48"/>
    </row>
    <row r="464" spans="1:7" ht="32.25" x14ac:dyDescent="0.4">
      <c r="A464" s="8">
        <v>14</v>
      </c>
      <c r="B464" s="35" t="s">
        <v>284</v>
      </c>
      <c r="C464" s="34" t="s">
        <v>74</v>
      </c>
      <c r="D464" s="46" t="s">
        <v>66</v>
      </c>
      <c r="E464" s="13">
        <v>32750</v>
      </c>
      <c r="F464" s="108">
        <f>SUM(G464)</f>
        <v>0</v>
      </c>
      <c r="G464" s="104">
        <v>0</v>
      </c>
    </row>
    <row r="465" spans="1:7" ht="19.5" thickBot="1" x14ac:dyDescent="0.45">
      <c r="B465" s="15" t="str">
        <f>"TOTAL PCS = " &amp; SUM(F464:F465)</f>
        <v>TOTAL PCS = 0</v>
      </c>
      <c r="C465" s="16"/>
      <c r="D465" s="47" t="s">
        <v>71</v>
      </c>
      <c r="E465" s="17">
        <v>32750</v>
      </c>
      <c r="F465" s="110">
        <f>SUM(G465)</f>
        <v>0</v>
      </c>
      <c r="G465" s="106">
        <v>0</v>
      </c>
    </row>
    <row r="466" spans="1:7" ht="19.5" thickBot="1" x14ac:dyDescent="0.45">
      <c r="D466" s="48"/>
    </row>
    <row r="467" spans="1:7" ht="19.5" thickBot="1" x14ac:dyDescent="0.45">
      <c r="A467" s="8">
        <v>15</v>
      </c>
      <c r="B467" s="36" t="s">
        <v>311</v>
      </c>
      <c r="C467" s="37" t="s">
        <v>75</v>
      </c>
      <c r="D467" s="82"/>
      <c r="E467" s="28">
        <v>9400</v>
      </c>
      <c r="F467" s="119">
        <f>SUM(G467)</f>
        <v>1</v>
      </c>
      <c r="G467" s="111">
        <v>1</v>
      </c>
    </row>
    <row r="468" spans="1:7" ht="19.5" thickBot="1" x14ac:dyDescent="0.45">
      <c r="D468" s="48"/>
    </row>
    <row r="469" spans="1:7" ht="19.5" thickBot="1" x14ac:dyDescent="0.45">
      <c r="A469" s="8">
        <v>16</v>
      </c>
      <c r="B469" s="36" t="s">
        <v>312</v>
      </c>
      <c r="C469" s="37" t="s">
        <v>44</v>
      </c>
      <c r="D469" s="82"/>
      <c r="E469" s="28">
        <v>10050</v>
      </c>
      <c r="F469" s="119">
        <f>SUM(G469)</f>
        <v>3</v>
      </c>
      <c r="G469" s="111">
        <v>3</v>
      </c>
    </row>
    <row r="470" spans="1:7" ht="19.5" thickBot="1" x14ac:dyDescent="0.45">
      <c r="D470" s="48"/>
    </row>
    <row r="471" spans="1:7" ht="19.5" thickBot="1" x14ac:dyDescent="0.45">
      <c r="A471" s="8">
        <v>17</v>
      </c>
      <c r="B471" s="36" t="s">
        <v>313</v>
      </c>
      <c r="C471" s="37" t="s">
        <v>76</v>
      </c>
      <c r="D471" s="82"/>
      <c r="E471" s="28">
        <v>35500</v>
      </c>
      <c r="F471" s="119">
        <f>SUM(G471)</f>
        <v>0</v>
      </c>
      <c r="G471" s="111">
        <v>0</v>
      </c>
    </row>
    <row r="472" spans="1:7" ht="19.5" thickBot="1" x14ac:dyDescent="0.45">
      <c r="D472" s="48"/>
    </row>
    <row r="473" spans="1:7" ht="19.5" thickBot="1" x14ac:dyDescent="0.45">
      <c r="A473" s="8">
        <v>18</v>
      </c>
      <c r="B473" s="36" t="s">
        <v>314</v>
      </c>
      <c r="C473" s="37" t="s">
        <v>76</v>
      </c>
      <c r="D473" s="82"/>
      <c r="E473" s="28">
        <v>40000</v>
      </c>
      <c r="F473" s="119">
        <f>SUM(G473)</f>
        <v>0</v>
      </c>
      <c r="G473" s="111">
        <v>0</v>
      </c>
    </row>
    <row r="474" spans="1:7" ht="19.5" thickBot="1" x14ac:dyDescent="0.45">
      <c r="D474" s="48"/>
    </row>
    <row r="475" spans="1:7" ht="19.5" thickBot="1" x14ac:dyDescent="0.45">
      <c r="A475" s="8">
        <v>19</v>
      </c>
      <c r="B475" s="36" t="s">
        <v>315</v>
      </c>
      <c r="C475" s="37" t="s">
        <v>77</v>
      </c>
      <c r="D475" s="82"/>
      <c r="E475" s="28">
        <v>18850</v>
      </c>
      <c r="F475" s="119">
        <f>SUM(G475)</f>
        <v>0</v>
      </c>
      <c r="G475" s="111">
        <v>0</v>
      </c>
    </row>
    <row r="476" spans="1:7" ht="19.5" thickBot="1" x14ac:dyDescent="0.45">
      <c r="D476" s="48"/>
    </row>
    <row r="477" spans="1:7" ht="19.5" thickBot="1" x14ac:dyDescent="0.45">
      <c r="A477" s="8">
        <v>20</v>
      </c>
      <c r="B477" s="36" t="s">
        <v>316</v>
      </c>
      <c r="C477" s="37" t="s">
        <v>77</v>
      </c>
      <c r="D477" s="82"/>
      <c r="E477" s="28">
        <v>18850</v>
      </c>
      <c r="F477" s="119">
        <f>SUM(G477)</f>
        <v>0</v>
      </c>
      <c r="G477" s="111">
        <v>0</v>
      </c>
    </row>
    <row r="478" spans="1:7" ht="19.5" thickBot="1" x14ac:dyDescent="0.45">
      <c r="D478" s="48"/>
    </row>
    <row r="479" spans="1:7" ht="19.5" thickBot="1" x14ac:dyDescent="0.45">
      <c r="A479" s="8">
        <v>21</v>
      </c>
      <c r="B479" s="36" t="s">
        <v>522</v>
      </c>
      <c r="C479" s="37" t="s">
        <v>78</v>
      </c>
      <c r="D479" s="82" t="s">
        <v>91</v>
      </c>
      <c r="E479" s="28">
        <v>20250</v>
      </c>
      <c r="F479" s="119">
        <f>SUM(G479)</f>
        <v>1</v>
      </c>
      <c r="G479" s="111">
        <v>1</v>
      </c>
    </row>
    <row r="480" spans="1:7" ht="19.5" thickBot="1" x14ac:dyDescent="0.45">
      <c r="D480" s="48"/>
    </row>
    <row r="481" spans="1:7" ht="19.5" thickBot="1" x14ac:dyDescent="0.45">
      <c r="A481" s="8">
        <v>22</v>
      </c>
      <c r="B481" s="36" t="s">
        <v>523</v>
      </c>
      <c r="C481" s="37" t="s">
        <v>79</v>
      </c>
      <c r="D481" s="82" t="s">
        <v>91</v>
      </c>
      <c r="E481" s="28">
        <v>21700</v>
      </c>
      <c r="F481" s="119">
        <f>SUM(G481)</f>
        <v>0</v>
      </c>
      <c r="G481" s="111">
        <v>0</v>
      </c>
    </row>
    <row r="482" spans="1:7" ht="19.5" thickBot="1" x14ac:dyDescent="0.45">
      <c r="D482" s="48"/>
    </row>
    <row r="483" spans="1:7" ht="19.5" thickBot="1" x14ac:dyDescent="0.45">
      <c r="A483" s="8">
        <v>23</v>
      </c>
      <c r="B483" s="36" t="s">
        <v>524</v>
      </c>
      <c r="C483" s="37" t="s">
        <v>80</v>
      </c>
      <c r="D483" s="82"/>
      <c r="E483" s="28">
        <v>23850</v>
      </c>
      <c r="F483" s="119">
        <f>SUM(G483)</f>
        <v>0</v>
      </c>
      <c r="G483" s="111">
        <v>0</v>
      </c>
    </row>
    <row r="484" spans="1:7" ht="19.5" thickBot="1" x14ac:dyDescent="0.45">
      <c r="D484" s="48"/>
    </row>
    <row r="485" spans="1:7" ht="19.5" thickBot="1" x14ac:dyDescent="0.45">
      <c r="A485" s="8">
        <v>24</v>
      </c>
      <c r="B485" s="36" t="s">
        <v>525</v>
      </c>
      <c r="C485" s="37" t="s">
        <v>109</v>
      </c>
      <c r="D485" s="82" t="s">
        <v>91</v>
      </c>
      <c r="E485" s="28">
        <v>21100</v>
      </c>
      <c r="F485" s="119">
        <f>SUM(G485)</f>
        <v>3</v>
      </c>
      <c r="G485" s="111">
        <v>3</v>
      </c>
    </row>
    <row r="486" spans="1:7" ht="19.5" thickBot="1" x14ac:dyDescent="0.45">
      <c r="D486" s="48"/>
    </row>
    <row r="487" spans="1:7" ht="19.5" thickBot="1" x14ac:dyDescent="0.45">
      <c r="A487" s="8">
        <v>25</v>
      </c>
      <c r="B487" s="36" t="s">
        <v>526</v>
      </c>
      <c r="C487" s="37" t="s">
        <v>82</v>
      </c>
      <c r="D487" s="82"/>
      <c r="E487" s="28">
        <v>22350</v>
      </c>
      <c r="F487" s="119">
        <f>SUM(G487)</f>
        <v>0</v>
      </c>
      <c r="G487" s="111">
        <v>0</v>
      </c>
    </row>
    <row r="488" spans="1:7" ht="19.5" thickBot="1" x14ac:dyDescent="0.45">
      <c r="D488" s="48"/>
    </row>
    <row r="489" spans="1:7" ht="19.5" thickBot="1" x14ac:dyDescent="0.45">
      <c r="A489" s="8">
        <v>26</v>
      </c>
      <c r="B489" s="36" t="s">
        <v>527</v>
      </c>
      <c r="C489" s="37" t="s">
        <v>83</v>
      </c>
      <c r="D489" s="82"/>
      <c r="E489" s="28">
        <v>26050</v>
      </c>
      <c r="F489" s="119">
        <f>SUM(G489)</f>
        <v>5</v>
      </c>
      <c r="G489" s="111">
        <v>5</v>
      </c>
    </row>
    <row r="490" spans="1:7" ht="19.5" thickBot="1" x14ac:dyDescent="0.45">
      <c r="D490" s="48"/>
    </row>
    <row r="491" spans="1:7" ht="19.5" thickBot="1" x14ac:dyDescent="0.45">
      <c r="A491" s="8">
        <v>27</v>
      </c>
      <c r="B491" s="36" t="s">
        <v>528</v>
      </c>
      <c r="C491" s="37" t="s">
        <v>108</v>
      </c>
      <c r="D491" s="82"/>
      <c r="E491" s="28">
        <v>19090</v>
      </c>
      <c r="F491" s="119">
        <f>SUM(G491)</f>
        <v>4</v>
      </c>
      <c r="G491" s="111">
        <v>4</v>
      </c>
    </row>
    <row r="492" spans="1:7" ht="19.5" thickBot="1" x14ac:dyDescent="0.45">
      <c r="D492" s="48"/>
    </row>
    <row r="493" spans="1:7" ht="19.5" thickBot="1" x14ac:dyDescent="0.45">
      <c r="A493" s="8">
        <v>28</v>
      </c>
      <c r="B493" s="36" t="s">
        <v>376</v>
      </c>
      <c r="C493" s="37" t="s">
        <v>84</v>
      </c>
      <c r="D493" s="82" t="s">
        <v>88</v>
      </c>
      <c r="E493" s="28">
        <v>18000</v>
      </c>
      <c r="F493" s="119">
        <f>SUM(G493)</f>
        <v>0</v>
      </c>
      <c r="G493" s="111">
        <v>0</v>
      </c>
    </row>
    <row r="494" spans="1:7" ht="19.5" thickBot="1" x14ac:dyDescent="0.45">
      <c r="D494" s="48"/>
    </row>
    <row r="495" spans="1:7" ht="19.5" thickBot="1" x14ac:dyDescent="0.45">
      <c r="A495" s="8">
        <v>29</v>
      </c>
      <c r="B495" s="36" t="s">
        <v>377</v>
      </c>
      <c r="C495" s="37" t="s">
        <v>85</v>
      </c>
      <c r="D495" s="82" t="s">
        <v>88</v>
      </c>
      <c r="E495" s="28">
        <v>20900</v>
      </c>
      <c r="F495" s="119">
        <f>SUM(G495)</f>
        <v>0</v>
      </c>
      <c r="G495" s="111">
        <v>0</v>
      </c>
    </row>
    <row r="496" spans="1:7" ht="19.5" thickBot="1" x14ac:dyDescent="0.45">
      <c r="D496" s="48"/>
    </row>
    <row r="497" spans="1:7" ht="19.5" thickBot="1" x14ac:dyDescent="0.45">
      <c r="A497" s="8">
        <v>30</v>
      </c>
      <c r="B497" s="36" t="s">
        <v>378</v>
      </c>
      <c r="C497" s="37" t="s">
        <v>86</v>
      </c>
      <c r="D497" s="82" t="s">
        <v>88</v>
      </c>
      <c r="E497" s="28">
        <v>23950</v>
      </c>
      <c r="F497" s="119">
        <f>SUM(G497)</f>
        <v>0</v>
      </c>
      <c r="G497" s="111">
        <v>0</v>
      </c>
    </row>
    <row r="498" spans="1:7" ht="19.5" thickBot="1" x14ac:dyDescent="0.45">
      <c r="D498" s="48"/>
    </row>
    <row r="499" spans="1:7" ht="33" thickBot="1" x14ac:dyDescent="0.45">
      <c r="A499" s="8">
        <v>31</v>
      </c>
      <c r="B499" s="39" t="s">
        <v>317</v>
      </c>
      <c r="C499" s="37" t="s">
        <v>87</v>
      </c>
      <c r="D499" s="82" t="s">
        <v>89</v>
      </c>
      <c r="E499" s="28">
        <v>31200</v>
      </c>
      <c r="F499" s="119">
        <f>SUM(G499)</f>
        <v>0</v>
      </c>
      <c r="G499" s="111">
        <v>0</v>
      </c>
    </row>
    <row r="500" spans="1:7" ht="19.5" thickBot="1" x14ac:dyDescent="0.45">
      <c r="D500" s="48"/>
    </row>
    <row r="501" spans="1:7" ht="19.5" thickBot="1" x14ac:dyDescent="0.45">
      <c r="A501" s="8">
        <v>32</v>
      </c>
      <c r="B501" s="36" t="s">
        <v>380</v>
      </c>
      <c r="C501" s="37" t="s">
        <v>90</v>
      </c>
      <c r="D501" s="82" t="s">
        <v>91</v>
      </c>
      <c r="E501" s="28">
        <v>9400</v>
      </c>
      <c r="F501" s="119">
        <f>SUM(G501)</f>
        <v>2</v>
      </c>
      <c r="G501" s="111">
        <v>2</v>
      </c>
    </row>
    <row r="502" spans="1:7" ht="19.5" thickBot="1" x14ac:dyDescent="0.45">
      <c r="D502" s="48"/>
    </row>
    <row r="503" spans="1:7" ht="19.5" thickBot="1" x14ac:dyDescent="0.45">
      <c r="A503" s="8">
        <v>33</v>
      </c>
      <c r="B503" s="36" t="s">
        <v>381</v>
      </c>
      <c r="C503" s="37" t="s">
        <v>92</v>
      </c>
      <c r="D503" s="82" t="s">
        <v>91</v>
      </c>
      <c r="E503" s="28">
        <v>11550</v>
      </c>
      <c r="F503" s="119">
        <f>SUM(G503)</f>
        <v>7</v>
      </c>
      <c r="G503" s="111">
        <v>7</v>
      </c>
    </row>
    <row r="504" spans="1:7" ht="19.5" thickBot="1" x14ac:dyDescent="0.45">
      <c r="D504" s="48"/>
    </row>
    <row r="505" spans="1:7" ht="19.5" thickBot="1" x14ac:dyDescent="0.45">
      <c r="A505" s="8">
        <v>34</v>
      </c>
      <c r="B505" s="36" t="s">
        <v>411</v>
      </c>
      <c r="C505" s="37" t="s">
        <v>93</v>
      </c>
      <c r="D505" s="82" t="s">
        <v>94</v>
      </c>
      <c r="E505" s="28">
        <v>11850</v>
      </c>
      <c r="F505" s="119">
        <f>SUM(G505)</f>
        <v>1</v>
      </c>
      <c r="G505" s="111">
        <v>1</v>
      </c>
    </row>
    <row r="506" spans="1:7" ht="19.5" thickBot="1" x14ac:dyDescent="0.45">
      <c r="D506" s="48"/>
    </row>
    <row r="507" spans="1:7" ht="19.5" thickBot="1" x14ac:dyDescent="0.45">
      <c r="A507" s="8">
        <v>35</v>
      </c>
      <c r="B507" s="36" t="s">
        <v>382</v>
      </c>
      <c r="C507" s="37" t="s">
        <v>95</v>
      </c>
      <c r="D507" s="82" t="s">
        <v>94</v>
      </c>
      <c r="E507" s="28">
        <v>12700</v>
      </c>
      <c r="F507" s="119">
        <f>SUM(G507)</f>
        <v>3</v>
      </c>
      <c r="G507" s="111">
        <v>3</v>
      </c>
    </row>
    <row r="508" spans="1:7" ht="19.5" thickBot="1" x14ac:dyDescent="0.45">
      <c r="D508" s="48"/>
    </row>
    <row r="509" spans="1:7" ht="19.5" thickBot="1" x14ac:dyDescent="0.45">
      <c r="A509" s="8">
        <v>36</v>
      </c>
      <c r="B509" s="36" t="s">
        <v>383</v>
      </c>
      <c r="C509" s="37" t="s">
        <v>44</v>
      </c>
      <c r="D509" s="82" t="s">
        <v>91</v>
      </c>
      <c r="E509" s="28">
        <v>13850</v>
      </c>
      <c r="F509" s="119">
        <f>SUM(G509)</f>
        <v>7</v>
      </c>
      <c r="G509" s="111">
        <v>7</v>
      </c>
    </row>
    <row r="510" spans="1:7" ht="19.5" thickBot="1" x14ac:dyDescent="0.45">
      <c r="D510" s="48"/>
    </row>
    <row r="511" spans="1:7" ht="19.5" thickBot="1" x14ac:dyDescent="0.45">
      <c r="A511" s="8">
        <v>37</v>
      </c>
      <c r="B511" s="36" t="s">
        <v>384</v>
      </c>
      <c r="C511" s="37" t="s">
        <v>96</v>
      </c>
      <c r="D511" s="82" t="s">
        <v>91</v>
      </c>
      <c r="E511" s="28">
        <v>15000</v>
      </c>
      <c r="F511" s="119">
        <f>SUM(G511)</f>
        <v>5</v>
      </c>
      <c r="G511" s="111">
        <v>5</v>
      </c>
    </row>
    <row r="512" spans="1:7" ht="19.5" thickBot="1" x14ac:dyDescent="0.45">
      <c r="D512" s="48"/>
    </row>
    <row r="513" spans="1:8" ht="19.5" thickBot="1" x14ac:dyDescent="0.45">
      <c r="A513" s="8">
        <v>38</v>
      </c>
      <c r="B513" s="36" t="s">
        <v>385</v>
      </c>
      <c r="C513" s="37" t="s">
        <v>97</v>
      </c>
      <c r="D513" s="82" t="s">
        <v>91</v>
      </c>
      <c r="E513" s="28">
        <v>17500</v>
      </c>
      <c r="F513" s="119">
        <f>SUM(G513)</f>
        <v>2</v>
      </c>
      <c r="G513" s="111">
        <v>2</v>
      </c>
    </row>
    <row r="514" spans="1:8" ht="19.5" thickBot="1" x14ac:dyDescent="0.45">
      <c r="D514" s="48"/>
    </row>
    <row r="515" spans="1:8" ht="19.5" thickBot="1" x14ac:dyDescent="0.45">
      <c r="A515" s="8">
        <v>39</v>
      </c>
      <c r="B515" s="36" t="s">
        <v>386</v>
      </c>
      <c r="C515" s="37" t="s">
        <v>81</v>
      </c>
      <c r="D515" s="82" t="s">
        <v>94</v>
      </c>
      <c r="E515" s="28">
        <v>19400</v>
      </c>
      <c r="F515" s="119">
        <f>SUM(G515)</f>
        <v>1</v>
      </c>
      <c r="G515" s="111">
        <v>1</v>
      </c>
    </row>
    <row r="516" spans="1:8" ht="19.5" thickBot="1" x14ac:dyDescent="0.45">
      <c r="D516" s="48"/>
    </row>
    <row r="517" spans="1:8" ht="19.5" thickBot="1" x14ac:dyDescent="0.45">
      <c r="A517" s="8">
        <v>40</v>
      </c>
      <c r="B517" s="36" t="s">
        <v>387</v>
      </c>
      <c r="C517" s="37" t="s">
        <v>98</v>
      </c>
      <c r="D517" s="82" t="s">
        <v>91</v>
      </c>
      <c r="E517" s="28">
        <v>19850</v>
      </c>
      <c r="F517" s="119">
        <f>SUM(G517)</f>
        <v>1</v>
      </c>
      <c r="G517" s="111">
        <v>1</v>
      </c>
    </row>
    <row r="518" spans="1:8" ht="19.5" thickBot="1" x14ac:dyDescent="0.45">
      <c r="D518" s="48"/>
    </row>
    <row r="519" spans="1:8" ht="19.5" thickBot="1" x14ac:dyDescent="0.45">
      <c r="A519" s="8">
        <v>41</v>
      </c>
      <c r="B519" s="36" t="s">
        <v>388</v>
      </c>
      <c r="C519" s="37" t="s">
        <v>99</v>
      </c>
      <c r="D519" s="82" t="s">
        <v>91</v>
      </c>
      <c r="E519" s="28">
        <v>20600</v>
      </c>
      <c r="F519" s="119">
        <f>SUM(G519)</f>
        <v>1</v>
      </c>
      <c r="G519" s="111">
        <v>1</v>
      </c>
    </row>
    <row r="520" spans="1:8" ht="19.5" thickBot="1" x14ac:dyDescent="0.45">
      <c r="D520" s="48"/>
    </row>
    <row r="521" spans="1:8" ht="39.75" customHeight="1" thickBot="1" x14ac:dyDescent="0.45">
      <c r="A521" s="8">
        <v>42</v>
      </c>
      <c r="B521" s="39" t="s">
        <v>371</v>
      </c>
      <c r="C521" s="37" t="s">
        <v>100</v>
      </c>
      <c r="D521" s="82" t="s">
        <v>91</v>
      </c>
      <c r="E521" s="28">
        <v>12000</v>
      </c>
      <c r="F521" s="119">
        <f>SUM(G521)</f>
        <v>2</v>
      </c>
      <c r="G521" s="111">
        <v>2</v>
      </c>
    </row>
    <row r="522" spans="1:8" ht="19.5" thickBot="1" x14ac:dyDescent="0.45">
      <c r="D522" s="48"/>
    </row>
    <row r="523" spans="1:8" ht="40.5" customHeight="1" thickBot="1" x14ac:dyDescent="0.45">
      <c r="A523" s="8">
        <v>43</v>
      </c>
      <c r="B523" s="39" t="s">
        <v>372</v>
      </c>
      <c r="C523" s="37" t="s">
        <v>101</v>
      </c>
      <c r="D523" s="82" t="s">
        <v>91</v>
      </c>
      <c r="E523" s="28">
        <v>13100</v>
      </c>
      <c r="F523" s="119">
        <f>SUM(G523)</f>
        <v>4</v>
      </c>
      <c r="G523" s="111">
        <v>4</v>
      </c>
      <c r="H523" t="s">
        <v>529</v>
      </c>
    </row>
    <row r="524" spans="1:8" ht="19.5" thickBot="1" x14ac:dyDescent="0.45">
      <c r="D524" s="48"/>
    </row>
    <row r="525" spans="1:8" ht="40.5" customHeight="1" thickBot="1" x14ac:dyDescent="0.45">
      <c r="A525" s="8">
        <v>44</v>
      </c>
      <c r="B525" s="39" t="s">
        <v>373</v>
      </c>
      <c r="C525" s="37" t="s">
        <v>102</v>
      </c>
      <c r="D525" s="82" t="s">
        <v>91</v>
      </c>
      <c r="E525" s="28">
        <v>16500</v>
      </c>
      <c r="F525" s="119">
        <f>SUM(G525)</f>
        <v>2</v>
      </c>
      <c r="G525" s="111">
        <v>2</v>
      </c>
    </row>
    <row r="526" spans="1:8" ht="19.5" thickBot="1" x14ac:dyDescent="0.45">
      <c r="D526" s="48"/>
    </row>
    <row r="527" spans="1:8" ht="39.75" customHeight="1" thickBot="1" x14ac:dyDescent="0.45">
      <c r="A527" s="8">
        <v>45</v>
      </c>
      <c r="B527" s="39" t="s">
        <v>374</v>
      </c>
      <c r="C527" s="37" t="s">
        <v>103</v>
      </c>
      <c r="D527" s="82" t="s">
        <v>91</v>
      </c>
      <c r="E527" s="28">
        <v>19000</v>
      </c>
      <c r="F527" s="119">
        <f>SUM(G527)</f>
        <v>0</v>
      </c>
      <c r="G527" s="111">
        <v>0</v>
      </c>
    </row>
    <row r="528" spans="1:8" ht="19.5" thickBot="1" x14ac:dyDescent="0.45">
      <c r="D528" s="48"/>
    </row>
    <row r="529" spans="1:8" ht="38.25" customHeight="1" thickBot="1" x14ac:dyDescent="0.45">
      <c r="A529" s="8">
        <v>46</v>
      </c>
      <c r="B529" s="39" t="s">
        <v>375</v>
      </c>
      <c r="C529" s="37" t="s">
        <v>104</v>
      </c>
      <c r="D529" s="82" t="s">
        <v>94</v>
      </c>
      <c r="E529" s="28">
        <v>26050</v>
      </c>
      <c r="F529" s="119">
        <f>SUM(G529)</f>
        <v>5</v>
      </c>
      <c r="G529" s="111">
        <v>5</v>
      </c>
    </row>
    <row r="530" spans="1:8" ht="19.5" thickBot="1" x14ac:dyDescent="0.45">
      <c r="D530" s="48"/>
    </row>
    <row r="531" spans="1:8" ht="19.5" thickBot="1" x14ac:dyDescent="0.45">
      <c r="A531" s="8">
        <v>47</v>
      </c>
      <c r="B531" s="36" t="s">
        <v>356</v>
      </c>
      <c r="C531" s="37" t="s">
        <v>105</v>
      </c>
      <c r="D531" s="82" t="s">
        <v>91</v>
      </c>
      <c r="E531" s="28">
        <v>10100</v>
      </c>
      <c r="F531" s="119">
        <f>SUM(G531)</f>
        <v>2</v>
      </c>
      <c r="G531" s="111">
        <v>2</v>
      </c>
    </row>
    <row r="532" spans="1:8" ht="19.5" thickBot="1" x14ac:dyDescent="0.45">
      <c r="D532" s="48"/>
    </row>
    <row r="533" spans="1:8" ht="19.5" thickBot="1" x14ac:dyDescent="0.45">
      <c r="A533" s="8">
        <v>48</v>
      </c>
      <c r="B533" s="36" t="s">
        <v>357</v>
      </c>
      <c r="C533" s="37" t="s">
        <v>106</v>
      </c>
      <c r="D533" s="82" t="s">
        <v>91</v>
      </c>
      <c r="E533" s="28">
        <v>10700</v>
      </c>
      <c r="F533" s="119">
        <f>SUM(G533)</f>
        <v>0</v>
      </c>
      <c r="G533" s="111">
        <v>0</v>
      </c>
    </row>
    <row r="534" spans="1:8" ht="19.5" thickBot="1" x14ac:dyDescent="0.45">
      <c r="D534" s="48"/>
    </row>
    <row r="535" spans="1:8" ht="19.5" thickBot="1" x14ac:dyDescent="0.45">
      <c r="A535" s="8">
        <v>49</v>
      </c>
      <c r="B535" s="36" t="s">
        <v>358</v>
      </c>
      <c r="C535" s="37" t="s">
        <v>68</v>
      </c>
      <c r="D535" s="82" t="s">
        <v>91</v>
      </c>
      <c r="E535" s="28">
        <v>11300</v>
      </c>
      <c r="F535" s="119">
        <f>SUM(G535)</f>
        <v>5</v>
      </c>
      <c r="G535" s="111">
        <v>5</v>
      </c>
    </row>
    <row r="536" spans="1:8" ht="19.5" thickBot="1" x14ac:dyDescent="0.45">
      <c r="D536" s="48"/>
    </row>
    <row r="537" spans="1:8" ht="19.5" thickBot="1" x14ac:dyDescent="0.45">
      <c r="A537" s="8">
        <v>50</v>
      </c>
      <c r="B537" s="36" t="s">
        <v>359</v>
      </c>
      <c r="C537" s="37" t="s">
        <v>75</v>
      </c>
      <c r="D537" s="82" t="s">
        <v>91</v>
      </c>
      <c r="E537" s="28">
        <v>11750</v>
      </c>
      <c r="F537" s="119">
        <f>SUM(G537)</f>
        <v>0</v>
      </c>
      <c r="G537" s="111">
        <v>0</v>
      </c>
    </row>
    <row r="538" spans="1:8" ht="19.5" thickBot="1" x14ac:dyDescent="0.45">
      <c r="D538" s="48"/>
    </row>
    <row r="539" spans="1:8" ht="19.5" thickBot="1" x14ac:dyDescent="0.45">
      <c r="A539" s="8">
        <v>51</v>
      </c>
      <c r="B539" s="36" t="s">
        <v>360</v>
      </c>
      <c r="C539" s="37" t="s">
        <v>70</v>
      </c>
      <c r="D539" s="82" t="s">
        <v>91</v>
      </c>
      <c r="E539" s="28">
        <v>12100</v>
      </c>
      <c r="F539" s="119">
        <f>SUM(G539)</f>
        <v>2</v>
      </c>
      <c r="G539" s="111">
        <v>2</v>
      </c>
    </row>
    <row r="540" spans="1:8" ht="19.5" thickBot="1" x14ac:dyDescent="0.45">
      <c r="D540" s="48"/>
    </row>
    <row r="541" spans="1:8" ht="19.5" thickBot="1" x14ac:dyDescent="0.45">
      <c r="A541" s="8">
        <v>52</v>
      </c>
      <c r="B541" s="36" t="s">
        <v>410</v>
      </c>
      <c r="C541" s="37" t="s">
        <v>44</v>
      </c>
      <c r="D541" s="82" t="s">
        <v>91</v>
      </c>
      <c r="E541" s="28">
        <v>13200</v>
      </c>
      <c r="F541" s="119">
        <f>SUM(G541)</f>
        <v>5</v>
      </c>
      <c r="G541" s="111">
        <v>5</v>
      </c>
      <c r="H541" t="s">
        <v>536</v>
      </c>
    </row>
    <row r="542" spans="1:8" ht="19.5" thickBot="1" x14ac:dyDescent="0.45">
      <c r="D542" s="48"/>
    </row>
    <row r="543" spans="1:8" ht="19.5" thickBot="1" x14ac:dyDescent="0.45">
      <c r="A543" s="8">
        <v>53</v>
      </c>
      <c r="B543" s="36" t="s">
        <v>361</v>
      </c>
      <c r="C543" s="37" t="s">
        <v>107</v>
      </c>
      <c r="D543" s="82" t="s">
        <v>91</v>
      </c>
      <c r="E543" s="28">
        <v>15500</v>
      </c>
      <c r="F543" s="119">
        <f>SUM(G543)</f>
        <v>8</v>
      </c>
      <c r="G543" s="111">
        <v>8</v>
      </c>
    </row>
    <row r="544" spans="1:8" ht="19.5" thickBot="1" x14ac:dyDescent="0.45">
      <c r="D544" s="48"/>
    </row>
    <row r="545" spans="1:8" ht="19.5" thickBot="1" x14ac:dyDescent="0.45">
      <c r="A545" s="8">
        <v>54</v>
      </c>
      <c r="B545" s="36" t="s">
        <v>322</v>
      </c>
      <c r="C545" s="37" t="s">
        <v>108</v>
      </c>
      <c r="D545" s="82" t="s">
        <v>91</v>
      </c>
      <c r="E545" s="28">
        <v>18500</v>
      </c>
      <c r="F545" s="119">
        <f>SUM(G545)</f>
        <v>9</v>
      </c>
      <c r="G545" s="111">
        <v>9</v>
      </c>
      <c r="H545" t="s">
        <v>530</v>
      </c>
    </row>
    <row r="546" spans="1:8" ht="19.5" thickBot="1" x14ac:dyDescent="0.45">
      <c r="D546" s="48"/>
    </row>
    <row r="547" spans="1:8" ht="19.5" thickBot="1" x14ac:dyDescent="0.45">
      <c r="A547" s="8">
        <v>55</v>
      </c>
      <c r="B547" s="36" t="s">
        <v>362</v>
      </c>
      <c r="C547" s="37" t="s">
        <v>109</v>
      </c>
      <c r="D547" s="82" t="s">
        <v>91</v>
      </c>
      <c r="E547" s="28">
        <v>19500</v>
      </c>
      <c r="F547" s="119">
        <f>SUM(G547)</f>
        <v>1</v>
      </c>
      <c r="G547" s="111">
        <v>1</v>
      </c>
    </row>
    <row r="548" spans="1:8" ht="19.5" thickBot="1" x14ac:dyDescent="0.45">
      <c r="D548" s="48"/>
    </row>
    <row r="549" spans="1:8" ht="19.5" thickBot="1" x14ac:dyDescent="0.45">
      <c r="A549" s="8">
        <v>56</v>
      </c>
      <c r="B549" s="36" t="s">
        <v>323</v>
      </c>
      <c r="C549" s="37" t="s">
        <v>99</v>
      </c>
      <c r="D549" s="82" t="s">
        <v>91</v>
      </c>
      <c r="E549" s="28">
        <v>19600</v>
      </c>
      <c r="F549" s="119">
        <f>SUM(G549)</f>
        <v>5</v>
      </c>
      <c r="G549" s="111">
        <v>5</v>
      </c>
    </row>
    <row r="550" spans="1:8" ht="19.5" thickBot="1" x14ac:dyDescent="0.45">
      <c r="D550" s="48"/>
    </row>
    <row r="551" spans="1:8" ht="19.5" thickBot="1" x14ac:dyDescent="0.45">
      <c r="A551" s="8">
        <v>57</v>
      </c>
      <c r="B551" s="36" t="s">
        <v>363</v>
      </c>
      <c r="C551" s="37" t="s">
        <v>82</v>
      </c>
      <c r="D551" s="82" t="s">
        <v>91</v>
      </c>
      <c r="E551" s="28">
        <v>20250</v>
      </c>
      <c r="F551" s="119">
        <f>SUM(G551)</f>
        <v>2</v>
      </c>
      <c r="G551" s="111">
        <v>2</v>
      </c>
    </row>
    <row r="552" spans="1:8" ht="19.5" thickBot="1" x14ac:dyDescent="0.45">
      <c r="D552" s="48"/>
    </row>
    <row r="553" spans="1:8" ht="19.5" thickBot="1" x14ac:dyDescent="0.45">
      <c r="A553" s="8">
        <v>58</v>
      </c>
      <c r="B553" s="36" t="s">
        <v>364</v>
      </c>
      <c r="C553" s="37" t="s">
        <v>104</v>
      </c>
      <c r="D553" s="82" t="s">
        <v>91</v>
      </c>
      <c r="E553" s="28">
        <v>23600</v>
      </c>
      <c r="F553" s="119">
        <f>SUM(G553)</f>
        <v>1</v>
      </c>
      <c r="G553" s="111">
        <v>1</v>
      </c>
    </row>
    <row r="554" spans="1:8" ht="19.5" thickBot="1" x14ac:dyDescent="0.45">
      <c r="D554" s="48"/>
    </row>
    <row r="555" spans="1:8" ht="19.5" thickBot="1" x14ac:dyDescent="0.45">
      <c r="A555" s="8">
        <v>59</v>
      </c>
      <c r="B555" s="36" t="s">
        <v>353</v>
      </c>
      <c r="C555" s="37" t="s">
        <v>110</v>
      </c>
      <c r="D555" s="82" t="s">
        <v>91</v>
      </c>
      <c r="E555" s="28">
        <v>19500</v>
      </c>
      <c r="F555" s="119">
        <f>SUM(G555)</f>
        <v>4</v>
      </c>
      <c r="G555" s="111">
        <v>4</v>
      </c>
    </row>
    <row r="556" spans="1:8" ht="19.5" thickBot="1" x14ac:dyDescent="0.45">
      <c r="D556" s="48"/>
    </row>
    <row r="557" spans="1:8" ht="19.5" thickBot="1" x14ac:dyDescent="0.45">
      <c r="A557" s="8">
        <v>60</v>
      </c>
      <c r="B557" s="36" t="s">
        <v>354</v>
      </c>
      <c r="C557" s="37" t="s">
        <v>108</v>
      </c>
      <c r="D557" s="82" t="s">
        <v>91</v>
      </c>
      <c r="E557" s="28">
        <v>19800</v>
      </c>
      <c r="F557" s="119">
        <f>SUM(G557)</f>
        <v>5</v>
      </c>
      <c r="G557" s="111">
        <v>5</v>
      </c>
    </row>
    <row r="558" spans="1:8" ht="19.5" thickBot="1" x14ac:dyDescent="0.45">
      <c r="D558" s="48"/>
    </row>
    <row r="559" spans="1:8" ht="19.5" thickBot="1" x14ac:dyDescent="0.45">
      <c r="A559" s="8">
        <v>61</v>
      </c>
      <c r="B559" s="36" t="s">
        <v>355</v>
      </c>
      <c r="C559" s="37" t="s">
        <v>111</v>
      </c>
      <c r="D559" s="82" t="s">
        <v>91</v>
      </c>
      <c r="E559" s="28">
        <v>20600</v>
      </c>
      <c r="F559" s="119">
        <f>SUM(G559)</f>
        <v>3</v>
      </c>
      <c r="G559" s="111">
        <v>3</v>
      </c>
      <c r="H559" t="s">
        <v>531</v>
      </c>
    </row>
    <row r="560" spans="1:8" ht="19.5" thickBot="1" x14ac:dyDescent="0.45">
      <c r="D560" s="48"/>
    </row>
    <row r="561" spans="1:8" ht="19.5" thickBot="1" x14ac:dyDescent="0.45">
      <c r="A561" s="8">
        <v>62</v>
      </c>
      <c r="B561" s="36" t="s">
        <v>352</v>
      </c>
      <c r="C561" s="37" t="s">
        <v>112</v>
      </c>
      <c r="D561" s="82" t="s">
        <v>91</v>
      </c>
      <c r="E561" s="28">
        <v>21700</v>
      </c>
      <c r="F561" s="119">
        <f>SUM(G561)</f>
        <v>6</v>
      </c>
      <c r="G561" s="111">
        <v>6</v>
      </c>
      <c r="H561" t="s">
        <v>532</v>
      </c>
    </row>
    <row r="562" spans="1:8" ht="19.5" thickBot="1" x14ac:dyDescent="0.45">
      <c r="D562" s="48"/>
    </row>
    <row r="563" spans="1:8" ht="19.5" thickBot="1" x14ac:dyDescent="0.45">
      <c r="A563" s="8">
        <v>63</v>
      </c>
      <c r="B563" s="36" t="s">
        <v>351</v>
      </c>
      <c r="C563" s="37" t="s">
        <v>104</v>
      </c>
      <c r="D563" s="82" t="s">
        <v>91</v>
      </c>
      <c r="E563" s="28">
        <v>23600</v>
      </c>
      <c r="F563" s="119">
        <f>SUM(G563)</f>
        <v>0</v>
      </c>
      <c r="G563" s="111">
        <v>0</v>
      </c>
    </row>
    <row r="564" spans="1:8" ht="19.5" thickBot="1" x14ac:dyDescent="0.45">
      <c r="D564" s="48"/>
    </row>
    <row r="565" spans="1:8" ht="19.5" thickBot="1" x14ac:dyDescent="0.45">
      <c r="A565" s="8">
        <v>64</v>
      </c>
      <c r="B565" s="36" t="s">
        <v>369</v>
      </c>
      <c r="C565" s="37" t="s">
        <v>113</v>
      </c>
      <c r="D565" s="82" t="s">
        <v>91</v>
      </c>
      <c r="E565" s="28">
        <v>26100</v>
      </c>
      <c r="F565" s="119">
        <f>SUM(G565)</f>
        <v>4</v>
      </c>
      <c r="G565" s="111">
        <v>4</v>
      </c>
    </row>
    <row r="566" spans="1:8" ht="19.5" thickBot="1" x14ac:dyDescent="0.45">
      <c r="D566" s="48"/>
    </row>
    <row r="567" spans="1:8" ht="19.5" thickBot="1" x14ac:dyDescent="0.45">
      <c r="A567" s="8">
        <v>65</v>
      </c>
      <c r="B567" s="36" t="s">
        <v>370</v>
      </c>
      <c r="C567" s="37" t="s">
        <v>114</v>
      </c>
      <c r="D567" s="82" t="s">
        <v>91</v>
      </c>
      <c r="E567" s="28">
        <v>28100</v>
      </c>
      <c r="F567" s="119">
        <f>SUM(G567)</f>
        <v>0</v>
      </c>
      <c r="G567" s="111">
        <v>0</v>
      </c>
    </row>
    <row r="568" spans="1:8" ht="19.5" thickBot="1" x14ac:dyDescent="0.45">
      <c r="D568" s="48"/>
    </row>
    <row r="569" spans="1:8" ht="19.5" thickBot="1" x14ac:dyDescent="0.45">
      <c r="A569" s="8">
        <v>66</v>
      </c>
      <c r="B569" s="36" t="s">
        <v>513</v>
      </c>
      <c r="C569" s="37" t="s">
        <v>115</v>
      </c>
      <c r="D569" s="82" t="s">
        <v>116</v>
      </c>
      <c r="E569" s="28">
        <v>7460</v>
      </c>
      <c r="F569" s="119">
        <f>SUM(G569)</f>
        <v>1</v>
      </c>
      <c r="G569" s="111">
        <v>1</v>
      </c>
      <c r="H569" t="s">
        <v>533</v>
      </c>
    </row>
    <row r="570" spans="1:8" ht="19.5" thickBot="1" x14ac:dyDescent="0.45">
      <c r="D570" s="48"/>
    </row>
    <row r="571" spans="1:8" ht="19.5" thickBot="1" x14ac:dyDescent="0.45">
      <c r="A571" s="8">
        <v>67</v>
      </c>
      <c r="B571" s="36" t="s">
        <v>514</v>
      </c>
      <c r="C571" s="37" t="s">
        <v>117</v>
      </c>
      <c r="D571" s="82" t="s">
        <v>116</v>
      </c>
      <c r="E571" s="28">
        <v>7900</v>
      </c>
      <c r="F571" s="119">
        <f>SUM(G571)</f>
        <v>1</v>
      </c>
      <c r="G571" s="111">
        <v>1</v>
      </c>
    </row>
    <row r="572" spans="1:8" ht="19.5" thickBot="1" x14ac:dyDescent="0.45">
      <c r="D572" s="48"/>
    </row>
    <row r="573" spans="1:8" ht="19.5" thickBot="1" x14ac:dyDescent="0.45">
      <c r="A573" s="8">
        <v>68</v>
      </c>
      <c r="B573" s="36" t="s">
        <v>515</v>
      </c>
      <c r="C573" s="37" t="s">
        <v>68</v>
      </c>
      <c r="D573" s="82" t="s">
        <v>116</v>
      </c>
      <c r="E573" s="28">
        <v>8200</v>
      </c>
      <c r="F573" s="119">
        <f>SUM(G573)</f>
        <v>2</v>
      </c>
      <c r="G573" s="111">
        <v>2</v>
      </c>
    </row>
    <row r="574" spans="1:8" ht="19.5" thickBot="1" x14ac:dyDescent="0.45">
      <c r="D574" s="48"/>
    </row>
    <row r="575" spans="1:8" ht="19.5" thickBot="1" x14ac:dyDescent="0.45">
      <c r="A575" s="8">
        <v>69</v>
      </c>
      <c r="B575" s="36" t="s">
        <v>516</v>
      </c>
      <c r="C575" s="37" t="s">
        <v>95</v>
      </c>
      <c r="D575" s="82" t="s">
        <v>116</v>
      </c>
      <c r="E575" s="28">
        <v>9200</v>
      </c>
      <c r="F575" s="119">
        <f>SUM(G575)</f>
        <v>3</v>
      </c>
      <c r="G575" s="111">
        <v>3</v>
      </c>
    </row>
    <row r="576" spans="1:8" ht="19.5" thickBot="1" x14ac:dyDescent="0.45">
      <c r="D576" s="48"/>
    </row>
    <row r="577" spans="1:8" ht="19.5" thickBot="1" x14ac:dyDescent="0.45">
      <c r="A577" s="8">
        <v>70</v>
      </c>
      <c r="B577" s="36" t="s">
        <v>517</v>
      </c>
      <c r="C577" s="37" t="s">
        <v>44</v>
      </c>
      <c r="D577" s="82" t="s">
        <v>116</v>
      </c>
      <c r="E577" s="28">
        <v>10180</v>
      </c>
      <c r="F577" s="119">
        <f>SUM(G577)</f>
        <v>2</v>
      </c>
      <c r="G577" s="111">
        <v>2</v>
      </c>
      <c r="H577" t="s">
        <v>534</v>
      </c>
    </row>
    <row r="578" spans="1:8" ht="19.5" thickBot="1" x14ac:dyDescent="0.45">
      <c r="D578" s="48"/>
    </row>
    <row r="579" spans="1:8" ht="19.5" thickBot="1" x14ac:dyDescent="0.45">
      <c r="A579" s="8">
        <v>71</v>
      </c>
      <c r="B579" s="36" t="s">
        <v>518</v>
      </c>
      <c r="C579" s="37" t="s">
        <v>108</v>
      </c>
      <c r="D579" s="82" t="s">
        <v>116</v>
      </c>
      <c r="E579" s="28">
        <v>12300</v>
      </c>
      <c r="F579" s="119">
        <f>SUM(G579)</f>
        <v>4</v>
      </c>
      <c r="G579" s="111">
        <v>4</v>
      </c>
      <c r="H579" t="s">
        <v>534</v>
      </c>
    </row>
    <row r="580" spans="1:8" ht="19.5" thickBot="1" x14ac:dyDescent="0.45">
      <c r="D580" s="48"/>
    </row>
    <row r="581" spans="1:8" ht="19.5" thickBot="1" x14ac:dyDescent="0.45">
      <c r="A581" s="8">
        <v>72</v>
      </c>
      <c r="B581" s="36" t="s">
        <v>519</v>
      </c>
      <c r="C581" s="37" t="s">
        <v>111</v>
      </c>
      <c r="D581" s="82" t="s">
        <v>116</v>
      </c>
      <c r="E581" s="28">
        <v>13000</v>
      </c>
      <c r="F581" s="119">
        <f>SUM(G581)</f>
        <v>3</v>
      </c>
      <c r="G581" s="111">
        <v>3</v>
      </c>
    </row>
    <row r="582" spans="1:8" ht="19.5" thickBot="1" x14ac:dyDescent="0.45">
      <c r="D582" s="48"/>
    </row>
    <row r="583" spans="1:8" ht="19.5" thickBot="1" x14ac:dyDescent="0.45">
      <c r="A583" s="8">
        <v>73</v>
      </c>
      <c r="B583" s="36" t="s">
        <v>520</v>
      </c>
      <c r="C583" s="37" t="s">
        <v>104</v>
      </c>
      <c r="D583" s="82" t="s">
        <v>116</v>
      </c>
      <c r="E583" s="28">
        <v>17450</v>
      </c>
      <c r="F583" s="119">
        <f>SUM(G583)</f>
        <v>2</v>
      </c>
      <c r="G583" s="111">
        <v>2</v>
      </c>
    </row>
    <row r="584" spans="1:8" ht="19.5" thickBot="1" x14ac:dyDescent="0.45">
      <c r="D584" s="48"/>
    </row>
    <row r="585" spans="1:8" x14ac:dyDescent="0.4">
      <c r="A585" s="8">
        <v>74</v>
      </c>
      <c r="B585" s="33" t="s">
        <v>324</v>
      </c>
      <c r="C585" s="34" t="s">
        <v>118</v>
      </c>
      <c r="D585" s="46" t="s">
        <v>119</v>
      </c>
      <c r="E585" s="13">
        <v>5350</v>
      </c>
      <c r="F585" s="108">
        <f>SUM(G585)</f>
        <v>0</v>
      </c>
      <c r="G585" s="104">
        <v>0</v>
      </c>
    </row>
    <row r="586" spans="1:8" ht="19.5" thickBot="1" x14ac:dyDescent="0.45">
      <c r="B586" s="15" t="str">
        <f>"TOTAL PCS = " &amp; SUM(F585:F586)</f>
        <v>TOTAL PCS = 4</v>
      </c>
      <c r="C586" s="16"/>
      <c r="D586" s="47" t="s">
        <v>121</v>
      </c>
      <c r="E586" s="17">
        <v>5460</v>
      </c>
      <c r="F586" s="110">
        <f>SUM(G586)</f>
        <v>4</v>
      </c>
      <c r="G586" s="106">
        <v>4</v>
      </c>
    </row>
    <row r="587" spans="1:8" ht="19.5" thickBot="1" x14ac:dyDescent="0.45">
      <c r="D587" s="48"/>
    </row>
    <row r="588" spans="1:8" x14ac:dyDescent="0.4">
      <c r="A588" s="8">
        <v>75</v>
      </c>
      <c r="B588" s="33" t="s">
        <v>325</v>
      </c>
      <c r="C588" s="34" t="s">
        <v>120</v>
      </c>
      <c r="D588" s="46" t="s">
        <v>119</v>
      </c>
      <c r="E588" s="13">
        <v>5550</v>
      </c>
      <c r="F588" s="108">
        <f>SUM(G588)</f>
        <v>0</v>
      </c>
      <c r="G588" s="104">
        <v>0</v>
      </c>
    </row>
    <row r="589" spans="1:8" ht="19.5" thickBot="1" x14ac:dyDescent="0.45">
      <c r="B589" s="15" t="str">
        <f>"TOTAL PCS = " &amp; SUM(F588:F589)</f>
        <v>TOTAL PCS = 0</v>
      </c>
      <c r="C589" s="16"/>
      <c r="D589" s="47" t="s">
        <v>121</v>
      </c>
      <c r="E589" s="17">
        <v>5660</v>
      </c>
      <c r="F589" s="110">
        <f>SUM(G589)</f>
        <v>0</v>
      </c>
      <c r="G589" s="106">
        <v>0</v>
      </c>
    </row>
    <row r="590" spans="1:8" ht="19.5" thickBot="1" x14ac:dyDescent="0.45">
      <c r="D590" s="48"/>
    </row>
    <row r="591" spans="1:8" x14ac:dyDescent="0.4">
      <c r="A591" s="8">
        <v>76</v>
      </c>
      <c r="B591" s="33" t="s">
        <v>326</v>
      </c>
      <c r="C591" s="34" t="s">
        <v>122</v>
      </c>
      <c r="D591" s="46" t="s">
        <v>119</v>
      </c>
      <c r="E591" s="13">
        <v>6080</v>
      </c>
      <c r="F591" s="108">
        <f>SUM(G591)</f>
        <v>0</v>
      </c>
      <c r="G591" s="104">
        <v>0</v>
      </c>
    </row>
    <row r="592" spans="1:8" ht="19.5" thickBot="1" x14ac:dyDescent="0.45">
      <c r="B592" s="15" t="str">
        <f>"TOTAL PCS = " &amp; SUM(F591:F592)</f>
        <v>TOTAL PCS = 1</v>
      </c>
      <c r="C592" s="16"/>
      <c r="D592" s="47" t="s">
        <v>121</v>
      </c>
      <c r="E592" s="17">
        <v>6290</v>
      </c>
      <c r="F592" s="110">
        <f>SUM(G592)</f>
        <v>1</v>
      </c>
      <c r="G592" s="106">
        <v>1</v>
      </c>
    </row>
    <row r="593" spans="1:7" ht="19.5" thickBot="1" x14ac:dyDescent="0.45">
      <c r="D593" s="48"/>
    </row>
    <row r="594" spans="1:7" x14ac:dyDescent="0.4">
      <c r="A594" s="8">
        <v>77</v>
      </c>
      <c r="B594" s="33" t="s">
        <v>327</v>
      </c>
      <c r="C594" s="34" t="s">
        <v>68</v>
      </c>
      <c r="D594" s="46" t="s">
        <v>119</v>
      </c>
      <c r="E594" s="13">
        <v>6080</v>
      </c>
      <c r="F594" s="108">
        <f>SUM(G594)</f>
        <v>0</v>
      </c>
      <c r="G594" s="104">
        <v>0</v>
      </c>
    </row>
    <row r="595" spans="1:7" ht="19.5" thickBot="1" x14ac:dyDescent="0.45">
      <c r="B595" s="15" t="str">
        <f>"TOTAL PCS = " &amp; SUM(F594:F595)</f>
        <v>TOTAL PCS = 0</v>
      </c>
      <c r="C595" s="16"/>
      <c r="D595" s="47" t="s">
        <v>121</v>
      </c>
      <c r="E595" s="17">
        <v>6190</v>
      </c>
      <c r="F595" s="110">
        <f>SUM(G595)</f>
        <v>0</v>
      </c>
      <c r="G595" s="106">
        <v>0</v>
      </c>
    </row>
    <row r="596" spans="1:7" ht="19.5" thickBot="1" x14ac:dyDescent="0.45">
      <c r="D596" s="48"/>
    </row>
    <row r="597" spans="1:7" x14ac:dyDescent="0.4">
      <c r="A597" s="8">
        <v>78</v>
      </c>
      <c r="B597" s="33" t="s">
        <v>328</v>
      </c>
      <c r="C597" s="34" t="s">
        <v>75</v>
      </c>
      <c r="D597" s="46" t="s">
        <v>119</v>
      </c>
      <c r="E597" s="13">
        <v>6180</v>
      </c>
      <c r="F597" s="108">
        <f>SUM(G597)</f>
        <v>0</v>
      </c>
      <c r="G597" s="104">
        <v>0</v>
      </c>
    </row>
    <row r="598" spans="1:7" ht="19.5" thickBot="1" x14ac:dyDescent="0.45">
      <c r="B598" s="15" t="str">
        <f>"TOTAL PCS = " &amp; SUM(F597:F598)</f>
        <v>TOTAL PCS = 0</v>
      </c>
      <c r="C598" s="16"/>
      <c r="D598" s="47" t="s">
        <v>121</v>
      </c>
      <c r="E598" s="17">
        <v>6500</v>
      </c>
      <c r="F598" s="110">
        <f>SUM(G598)</f>
        <v>0</v>
      </c>
      <c r="G598" s="106">
        <v>0</v>
      </c>
    </row>
    <row r="599" spans="1:7" ht="19.5" thickBot="1" x14ac:dyDescent="0.45">
      <c r="D599" s="48"/>
    </row>
    <row r="600" spans="1:7" x14ac:dyDescent="0.4">
      <c r="A600" s="8">
        <v>79</v>
      </c>
      <c r="B600" s="33" t="s">
        <v>329</v>
      </c>
      <c r="C600" s="34" t="s">
        <v>123</v>
      </c>
      <c r="D600" s="46" t="s">
        <v>119</v>
      </c>
      <c r="E600" s="13">
        <v>6180</v>
      </c>
      <c r="F600" s="108">
        <f>SUM(G600)</f>
        <v>0</v>
      </c>
      <c r="G600" s="104">
        <v>0</v>
      </c>
    </row>
    <row r="601" spans="1:7" ht="19.5" thickBot="1" x14ac:dyDescent="0.45">
      <c r="B601" s="15" t="str">
        <f>"TOTAL PCS = " &amp; SUM(F600:F601)</f>
        <v>TOTAL PCS = 0</v>
      </c>
      <c r="C601" s="16"/>
      <c r="D601" s="47" t="s">
        <v>121</v>
      </c>
      <c r="E601" s="17">
        <v>6400</v>
      </c>
      <c r="F601" s="110">
        <f>SUM(G601)</f>
        <v>0</v>
      </c>
      <c r="G601" s="106">
        <v>0</v>
      </c>
    </row>
    <row r="602" spans="1:7" ht="19.5" thickBot="1" x14ac:dyDescent="0.45">
      <c r="D602" s="48"/>
    </row>
    <row r="603" spans="1:7" x14ac:dyDescent="0.4">
      <c r="A603" s="8">
        <v>80</v>
      </c>
      <c r="B603" s="33" t="s">
        <v>330</v>
      </c>
      <c r="C603" s="34" t="s">
        <v>95</v>
      </c>
      <c r="D603" s="46" t="s">
        <v>119</v>
      </c>
      <c r="E603" s="13">
        <v>6920</v>
      </c>
      <c r="F603" s="108">
        <f>SUM(G603)</f>
        <v>0</v>
      </c>
      <c r="G603" s="104">
        <v>0</v>
      </c>
    </row>
    <row r="604" spans="1:7" ht="19.5" thickBot="1" x14ac:dyDescent="0.45">
      <c r="B604" s="15" t="str">
        <f>"TOTAL PCS = " &amp; SUM(F603:F604)</f>
        <v>TOTAL PCS = 2</v>
      </c>
      <c r="C604" s="16"/>
      <c r="D604" s="47" t="s">
        <v>121</v>
      </c>
      <c r="E604" s="17">
        <v>7030</v>
      </c>
      <c r="F604" s="110">
        <f>SUM(G604)</f>
        <v>2</v>
      </c>
      <c r="G604" s="106">
        <v>2</v>
      </c>
    </row>
    <row r="605" spans="1:7" ht="19.5" thickBot="1" x14ac:dyDescent="0.45">
      <c r="D605" s="48"/>
    </row>
    <row r="606" spans="1:7" x14ac:dyDescent="0.4">
      <c r="A606" s="8">
        <v>81</v>
      </c>
      <c r="B606" s="33" t="s">
        <v>331</v>
      </c>
      <c r="C606" s="34" t="s">
        <v>44</v>
      </c>
      <c r="D606" s="46" t="s">
        <v>119</v>
      </c>
      <c r="E606" s="13">
        <v>7240</v>
      </c>
      <c r="F606" s="108">
        <f>SUM(G606)</f>
        <v>0</v>
      </c>
      <c r="G606" s="104">
        <v>0</v>
      </c>
    </row>
    <row r="607" spans="1:7" ht="19.5" thickBot="1" x14ac:dyDescent="0.45">
      <c r="B607" s="15" t="str">
        <f>"TOTAL PCS = " &amp; SUM(F606:F607)</f>
        <v>TOTAL PCS = 6</v>
      </c>
      <c r="C607" s="16"/>
      <c r="D607" s="47" t="s">
        <v>121</v>
      </c>
      <c r="E607" s="17">
        <v>7450</v>
      </c>
      <c r="F607" s="110">
        <f>SUM(G607)</f>
        <v>6</v>
      </c>
      <c r="G607" s="106">
        <v>6</v>
      </c>
    </row>
    <row r="608" spans="1:7" ht="19.5" thickBot="1" x14ac:dyDescent="0.45">
      <c r="D608" s="48"/>
    </row>
    <row r="609" spans="1:8" x14ac:dyDescent="0.4">
      <c r="A609" s="8">
        <v>82</v>
      </c>
      <c r="B609" s="33" t="s">
        <v>332</v>
      </c>
      <c r="C609" s="34" t="s">
        <v>124</v>
      </c>
      <c r="D609" s="46" t="s">
        <v>119</v>
      </c>
      <c r="E609" s="13">
        <v>7870</v>
      </c>
      <c r="F609" s="108">
        <f>SUM(G609)</f>
        <v>0</v>
      </c>
      <c r="G609" s="104">
        <v>0</v>
      </c>
    </row>
    <row r="610" spans="1:8" ht="19.5" thickBot="1" x14ac:dyDescent="0.45">
      <c r="B610" s="15" t="str">
        <f>"TOTAL PCS = " &amp; SUM(F609:F610)</f>
        <v>TOTAL PCS = 0</v>
      </c>
      <c r="C610" s="16"/>
      <c r="D610" s="47" t="s">
        <v>121</v>
      </c>
      <c r="E610" s="17">
        <v>8080</v>
      </c>
      <c r="F610" s="110">
        <f>SUM(G610)</f>
        <v>0</v>
      </c>
      <c r="G610" s="106">
        <v>0</v>
      </c>
    </row>
    <row r="611" spans="1:8" ht="19.5" thickBot="1" x14ac:dyDescent="0.45">
      <c r="D611" s="48"/>
    </row>
    <row r="612" spans="1:8" x14ac:dyDescent="0.4">
      <c r="A612" s="8">
        <v>83</v>
      </c>
      <c r="B612" s="33" t="s">
        <v>333</v>
      </c>
      <c r="C612" s="34" t="s">
        <v>107</v>
      </c>
      <c r="D612" s="46" t="s">
        <v>119</v>
      </c>
      <c r="E612" s="13">
        <v>8180</v>
      </c>
      <c r="F612" s="108">
        <f>SUM(G612)</f>
        <v>0</v>
      </c>
      <c r="G612" s="104">
        <v>0</v>
      </c>
    </row>
    <row r="613" spans="1:8" ht="19.5" thickBot="1" x14ac:dyDescent="0.45">
      <c r="B613" s="15" t="str">
        <f>"TOTAL PCS = " &amp; SUM(F612:F613)</f>
        <v>TOTAL PCS = 3</v>
      </c>
      <c r="C613" s="16"/>
      <c r="D613" s="47" t="s">
        <v>121</v>
      </c>
      <c r="E613" s="17">
        <v>8290</v>
      </c>
      <c r="F613" s="110">
        <f>SUM(G613)</f>
        <v>3</v>
      </c>
      <c r="G613" s="106">
        <v>3</v>
      </c>
    </row>
    <row r="614" spans="1:8" ht="19.5" thickBot="1" x14ac:dyDescent="0.45">
      <c r="D614" s="48"/>
    </row>
    <row r="615" spans="1:8" x14ac:dyDescent="0.4">
      <c r="A615" s="8">
        <v>84</v>
      </c>
      <c r="B615" s="33" t="s">
        <v>334</v>
      </c>
      <c r="C615" s="34" t="s">
        <v>125</v>
      </c>
      <c r="D615" s="46" t="s">
        <v>119</v>
      </c>
      <c r="E615" s="13">
        <v>8400</v>
      </c>
      <c r="F615" s="108">
        <f>SUM(G615)</f>
        <v>0</v>
      </c>
      <c r="G615" s="104">
        <v>0</v>
      </c>
    </row>
    <row r="616" spans="1:8" ht="19.5" thickBot="1" x14ac:dyDescent="0.45">
      <c r="B616" s="15" t="str">
        <f>"TOTAL PCS = " &amp; SUM(F615:F616)</f>
        <v>TOTAL PCS = 3</v>
      </c>
      <c r="C616" s="16"/>
      <c r="D616" s="47" t="s">
        <v>121</v>
      </c>
      <c r="E616" s="17">
        <v>8600</v>
      </c>
      <c r="F616" s="110">
        <f>SUM(G616)</f>
        <v>3</v>
      </c>
      <c r="G616" s="106">
        <v>3</v>
      </c>
      <c r="H616" t="s">
        <v>534</v>
      </c>
    </row>
    <row r="617" spans="1:8" ht="19.5" thickBot="1" x14ac:dyDescent="0.45">
      <c r="D617" s="48"/>
    </row>
    <row r="618" spans="1:8" x14ac:dyDescent="0.4">
      <c r="A618" s="8">
        <v>85</v>
      </c>
      <c r="B618" s="33" t="s">
        <v>335</v>
      </c>
      <c r="C618" s="34" t="s">
        <v>126</v>
      </c>
      <c r="D618" s="46" t="s">
        <v>119</v>
      </c>
      <c r="E618" s="13">
        <v>7720</v>
      </c>
      <c r="F618" s="108">
        <f>SUM(G618)</f>
        <v>0</v>
      </c>
      <c r="G618" s="104">
        <v>0</v>
      </c>
    </row>
    <row r="619" spans="1:8" ht="19.5" thickBot="1" x14ac:dyDescent="0.45">
      <c r="B619" s="15" t="str">
        <f>"TOTAL PCS = " &amp; SUM(F618:F619)</f>
        <v>TOTAL PCS = 0</v>
      </c>
      <c r="C619" s="16"/>
      <c r="D619" s="47" t="s">
        <v>121</v>
      </c>
      <c r="E619" s="17">
        <v>7980</v>
      </c>
      <c r="F619" s="110">
        <f>SUM(G619)</f>
        <v>0</v>
      </c>
      <c r="G619" s="106">
        <v>0</v>
      </c>
    </row>
    <row r="620" spans="1:8" ht="19.5" thickBot="1" x14ac:dyDescent="0.45">
      <c r="D620" s="48"/>
    </row>
    <row r="621" spans="1:8" x14ac:dyDescent="0.4">
      <c r="A621" s="8">
        <v>86</v>
      </c>
      <c r="B621" s="33" t="s">
        <v>336</v>
      </c>
      <c r="C621" s="34" t="s">
        <v>127</v>
      </c>
      <c r="D621" s="46" t="s">
        <v>119</v>
      </c>
      <c r="E621" s="13">
        <v>8440</v>
      </c>
      <c r="F621" s="108">
        <f>SUM(G621)</f>
        <v>0</v>
      </c>
      <c r="G621" s="104">
        <v>0</v>
      </c>
    </row>
    <row r="622" spans="1:8" ht="19.5" thickBot="1" x14ac:dyDescent="0.45">
      <c r="B622" s="15" t="str">
        <f>"TOTAL PCS = " &amp; SUM(F621:F622)</f>
        <v>TOTAL PCS = 0</v>
      </c>
      <c r="C622" s="16"/>
      <c r="D622" s="47" t="s">
        <v>121</v>
      </c>
      <c r="E622" s="17">
        <v>8760</v>
      </c>
      <c r="F622" s="110">
        <f>SUM(G622)</f>
        <v>0</v>
      </c>
      <c r="G622" s="106">
        <v>0</v>
      </c>
    </row>
    <row r="623" spans="1:8" ht="19.5" thickBot="1" x14ac:dyDescent="0.45">
      <c r="D623" s="48"/>
    </row>
    <row r="624" spans="1:8" x14ac:dyDescent="0.4">
      <c r="A624" s="8">
        <v>87</v>
      </c>
      <c r="B624" s="33" t="s">
        <v>337</v>
      </c>
      <c r="C624" s="34" t="s">
        <v>110</v>
      </c>
      <c r="D624" s="46" t="s">
        <v>119</v>
      </c>
      <c r="E624" s="13">
        <v>9660</v>
      </c>
      <c r="F624" s="108">
        <f>SUM(G624)</f>
        <v>0</v>
      </c>
      <c r="G624" s="104">
        <v>0</v>
      </c>
    </row>
    <row r="625" spans="1:7" ht="19.5" thickBot="1" x14ac:dyDescent="0.45">
      <c r="B625" s="15" t="str">
        <f>"TOTAL PCS = " &amp; SUM(F624:F625)</f>
        <v>TOTAL PCS = 2</v>
      </c>
      <c r="C625" s="16"/>
      <c r="D625" s="47" t="s">
        <v>121</v>
      </c>
      <c r="E625" s="17">
        <v>10050</v>
      </c>
      <c r="F625" s="110">
        <f>SUM(G625)</f>
        <v>2</v>
      </c>
      <c r="G625" s="106">
        <v>2</v>
      </c>
    </row>
    <row r="626" spans="1:7" ht="19.5" thickBot="1" x14ac:dyDescent="0.45">
      <c r="D626" s="48"/>
    </row>
    <row r="627" spans="1:7" x14ac:dyDescent="0.4">
      <c r="A627" s="8">
        <v>88</v>
      </c>
      <c r="B627" s="33" t="s">
        <v>338</v>
      </c>
      <c r="C627" s="34" t="s">
        <v>108</v>
      </c>
      <c r="D627" s="46" t="s">
        <v>119</v>
      </c>
      <c r="E627" s="13">
        <v>9070</v>
      </c>
      <c r="F627" s="108">
        <f>SUM(G627)</f>
        <v>0</v>
      </c>
      <c r="G627" s="104">
        <v>0</v>
      </c>
    </row>
    <row r="628" spans="1:7" ht="19.5" thickBot="1" x14ac:dyDescent="0.45">
      <c r="B628" s="15" t="str">
        <f>"TOTAL PCS = " &amp; SUM(F627:F628)</f>
        <v>TOTAL PCS = 1</v>
      </c>
      <c r="C628" s="16"/>
      <c r="D628" s="47" t="s">
        <v>121</v>
      </c>
      <c r="E628" s="17">
        <v>9490</v>
      </c>
      <c r="F628" s="110">
        <f>SUM(G628)</f>
        <v>1</v>
      </c>
      <c r="G628" s="106">
        <v>1</v>
      </c>
    </row>
    <row r="629" spans="1:7" ht="19.5" thickBot="1" x14ac:dyDescent="0.45">
      <c r="D629" s="48"/>
    </row>
    <row r="630" spans="1:7" x14ac:dyDescent="0.4">
      <c r="A630" s="8">
        <v>89</v>
      </c>
      <c r="B630" s="33" t="s">
        <v>339</v>
      </c>
      <c r="C630" s="34" t="s">
        <v>98</v>
      </c>
      <c r="D630" s="46" t="s">
        <v>119</v>
      </c>
      <c r="E630" s="13">
        <v>10080</v>
      </c>
      <c r="F630" s="108">
        <f>SUM(G630)</f>
        <v>0</v>
      </c>
      <c r="G630" s="104">
        <v>0</v>
      </c>
    </row>
    <row r="631" spans="1:7" ht="19.5" thickBot="1" x14ac:dyDescent="0.45">
      <c r="B631" s="15" t="str">
        <f>"TOTAL PCS = " &amp; SUM(F630:F631)</f>
        <v>TOTAL PCS = 3</v>
      </c>
      <c r="C631" s="16"/>
      <c r="D631" s="47" t="s">
        <v>121</v>
      </c>
      <c r="E631" s="17">
        <v>10490</v>
      </c>
      <c r="F631" s="110">
        <f>SUM(G631)</f>
        <v>3</v>
      </c>
      <c r="G631" s="106">
        <v>3</v>
      </c>
    </row>
    <row r="632" spans="1:7" ht="19.5" thickBot="1" x14ac:dyDescent="0.45">
      <c r="D632" s="48"/>
    </row>
    <row r="633" spans="1:7" x14ac:dyDescent="0.4">
      <c r="A633" s="8">
        <v>90</v>
      </c>
      <c r="B633" s="33" t="s">
        <v>340</v>
      </c>
      <c r="C633" s="34" t="s">
        <v>128</v>
      </c>
      <c r="D633" s="46" t="s">
        <v>119</v>
      </c>
      <c r="E633" s="13">
        <v>10290</v>
      </c>
      <c r="F633" s="108">
        <f>SUM(G633)</f>
        <v>0</v>
      </c>
      <c r="G633" s="104">
        <v>0</v>
      </c>
    </row>
    <row r="634" spans="1:7" ht="19.5" thickBot="1" x14ac:dyDescent="0.45">
      <c r="B634" s="15" t="str">
        <f>"TOTAL PCS = " &amp; SUM(F633:F634)</f>
        <v>TOTAL PCS = 0</v>
      </c>
      <c r="C634" s="16"/>
      <c r="D634" s="47" t="s">
        <v>121</v>
      </c>
      <c r="E634" s="17">
        <v>10490</v>
      </c>
      <c r="F634" s="110">
        <f>SUM(G634)</f>
        <v>0</v>
      </c>
      <c r="G634" s="106">
        <v>0</v>
      </c>
    </row>
    <row r="635" spans="1:7" ht="19.5" thickBot="1" x14ac:dyDescent="0.45">
      <c r="D635" s="48"/>
    </row>
    <row r="636" spans="1:7" x14ac:dyDescent="0.4">
      <c r="A636" s="8">
        <v>91</v>
      </c>
      <c r="B636" s="33" t="s">
        <v>341</v>
      </c>
      <c r="C636" s="34" t="s">
        <v>82</v>
      </c>
      <c r="D636" s="46" t="s">
        <v>119</v>
      </c>
      <c r="E636" s="13">
        <v>11440</v>
      </c>
      <c r="F636" s="108">
        <f>SUM(G636)</f>
        <v>0</v>
      </c>
      <c r="G636" s="104">
        <v>0</v>
      </c>
    </row>
    <row r="637" spans="1:7" ht="19.5" thickBot="1" x14ac:dyDescent="0.45">
      <c r="B637" s="15" t="str">
        <f>"TOTAL PCS = " &amp; SUM(F636:F637)</f>
        <v>TOTAL PCS = 0</v>
      </c>
      <c r="C637" s="16"/>
      <c r="D637" s="47" t="s">
        <v>121</v>
      </c>
      <c r="E637" s="17">
        <v>11590</v>
      </c>
      <c r="F637" s="110">
        <f>SUM(G637)</f>
        <v>0</v>
      </c>
      <c r="G637" s="106">
        <v>0</v>
      </c>
    </row>
    <row r="638" spans="1:7" ht="19.5" thickBot="1" x14ac:dyDescent="0.45">
      <c r="D638" s="48"/>
    </row>
    <row r="639" spans="1:7" x14ac:dyDescent="0.4">
      <c r="A639" s="8">
        <v>92</v>
      </c>
      <c r="B639" s="35" t="s">
        <v>535</v>
      </c>
      <c r="C639" s="34" t="s">
        <v>111</v>
      </c>
      <c r="D639" s="46" t="s">
        <v>119</v>
      </c>
      <c r="E639" s="13">
        <v>10950</v>
      </c>
      <c r="F639" s="108">
        <f>SUM(G639)</f>
        <v>0</v>
      </c>
      <c r="G639" s="104">
        <v>0</v>
      </c>
    </row>
    <row r="640" spans="1:7" ht="19.5" thickBot="1" x14ac:dyDescent="0.45">
      <c r="B640" s="15" t="str">
        <f>"TOTAL PCS = " &amp; SUM(F639:F640)</f>
        <v>TOTAL PCS = 1</v>
      </c>
      <c r="C640" s="16"/>
      <c r="D640" s="47" t="s">
        <v>121</v>
      </c>
      <c r="E640" s="17">
        <v>11150</v>
      </c>
      <c r="F640" s="110">
        <f>SUM(G640)</f>
        <v>1</v>
      </c>
      <c r="G640" s="106">
        <v>1</v>
      </c>
    </row>
    <row r="641" spans="1:7" ht="19.5" thickBot="1" x14ac:dyDescent="0.45">
      <c r="D641" s="48"/>
    </row>
    <row r="642" spans="1:7" ht="32.25" x14ac:dyDescent="0.4">
      <c r="A642" s="8">
        <v>93</v>
      </c>
      <c r="B642" s="35" t="s">
        <v>368</v>
      </c>
      <c r="C642" s="34" t="s">
        <v>129</v>
      </c>
      <c r="D642" s="46" t="s">
        <v>119</v>
      </c>
      <c r="E642" s="13">
        <v>12200</v>
      </c>
      <c r="F642" s="108">
        <f>SUM(G642)</f>
        <v>0</v>
      </c>
      <c r="G642" s="104">
        <v>0</v>
      </c>
    </row>
    <row r="643" spans="1:7" ht="19.5" thickBot="1" x14ac:dyDescent="0.45">
      <c r="B643" s="15" t="str">
        <f>"TOTAL PCS = " &amp; SUM(F642:F643)</f>
        <v>TOTAL PCS = 0</v>
      </c>
      <c r="C643" s="16"/>
      <c r="D643" s="47" t="s">
        <v>121</v>
      </c>
      <c r="E643" s="17">
        <v>12500</v>
      </c>
      <c r="F643" s="110">
        <f>SUM(G643)</f>
        <v>0</v>
      </c>
      <c r="G643" s="106">
        <v>0</v>
      </c>
    </row>
    <row r="644" spans="1:7" ht="19.5" thickBot="1" x14ac:dyDescent="0.45">
      <c r="D644" s="48"/>
    </row>
    <row r="645" spans="1:7" ht="32.25" x14ac:dyDescent="0.4">
      <c r="A645" s="8">
        <v>94</v>
      </c>
      <c r="B645" s="35" t="s">
        <v>409</v>
      </c>
      <c r="C645" s="34" t="s">
        <v>130</v>
      </c>
      <c r="D645" s="46" t="s">
        <v>119</v>
      </c>
      <c r="E645" s="13">
        <v>11850</v>
      </c>
      <c r="F645" s="108">
        <f>SUM(G645)</f>
        <v>0</v>
      </c>
      <c r="G645" s="104">
        <v>0</v>
      </c>
    </row>
    <row r="646" spans="1:7" ht="19.5" thickBot="1" x14ac:dyDescent="0.45">
      <c r="B646" s="15" t="str">
        <f>"TOTAL PCS = " &amp; SUM(F645:F646)</f>
        <v>TOTAL PCS = 0</v>
      </c>
      <c r="C646" s="16"/>
      <c r="D646" s="47" t="s">
        <v>121</v>
      </c>
      <c r="E646" s="17">
        <v>12070</v>
      </c>
      <c r="F646" s="110">
        <f>SUM(G646)</f>
        <v>0</v>
      </c>
      <c r="G646" s="106">
        <v>0</v>
      </c>
    </row>
    <row r="647" spans="1:7" ht="19.5" thickBot="1" x14ac:dyDescent="0.45">
      <c r="D647" s="48"/>
    </row>
    <row r="648" spans="1:7" ht="32.25" x14ac:dyDescent="0.4">
      <c r="A648" s="8">
        <v>95</v>
      </c>
      <c r="B648" s="35" t="s">
        <v>408</v>
      </c>
      <c r="C648" s="34" t="s">
        <v>111</v>
      </c>
      <c r="D648" s="46" t="s">
        <v>119</v>
      </c>
      <c r="E648" s="13">
        <v>12300</v>
      </c>
      <c r="F648" s="108">
        <f>SUM(G648)</f>
        <v>0</v>
      </c>
      <c r="G648" s="104">
        <v>0</v>
      </c>
    </row>
    <row r="649" spans="1:7" ht="19.5" thickBot="1" x14ac:dyDescent="0.45">
      <c r="B649" s="15" t="str">
        <f>"TOTAL PCS = " &amp; SUM(F648:F649)</f>
        <v>TOTAL PCS = 0</v>
      </c>
      <c r="C649" s="16"/>
      <c r="D649" s="47" t="s">
        <v>121</v>
      </c>
      <c r="E649" s="17">
        <v>12500</v>
      </c>
      <c r="F649" s="110">
        <f>SUM(G649)</f>
        <v>0</v>
      </c>
      <c r="G649" s="106">
        <v>0</v>
      </c>
    </row>
    <row r="650" spans="1:7" ht="19.5" thickBot="1" x14ac:dyDescent="0.45">
      <c r="D650" s="48"/>
    </row>
    <row r="651" spans="1:7" ht="32.25" x14ac:dyDescent="0.4">
      <c r="A651" s="8">
        <v>96</v>
      </c>
      <c r="B651" s="35" t="s">
        <v>407</v>
      </c>
      <c r="C651" s="34" t="s">
        <v>77</v>
      </c>
      <c r="D651" s="46" t="s">
        <v>119</v>
      </c>
      <c r="E651" s="13">
        <v>14700</v>
      </c>
      <c r="F651" s="108">
        <f>SUM(G651)</f>
        <v>0</v>
      </c>
      <c r="G651" s="104">
        <v>0</v>
      </c>
    </row>
    <row r="652" spans="1:7" ht="19.5" thickBot="1" x14ac:dyDescent="0.45">
      <c r="B652" s="15" t="str">
        <f>"TOTAL PCS = " &amp; SUM(F651:F652)</f>
        <v>TOTAL PCS = 0</v>
      </c>
      <c r="C652" s="16"/>
      <c r="D652" s="47" t="s">
        <v>121</v>
      </c>
      <c r="E652" s="17">
        <v>15000</v>
      </c>
      <c r="F652" s="110">
        <f>SUM(G652)</f>
        <v>0</v>
      </c>
      <c r="G652" s="106">
        <v>0</v>
      </c>
    </row>
    <row r="653" spans="1:7" ht="19.5" thickBot="1" x14ac:dyDescent="0.45">
      <c r="D653" s="48"/>
    </row>
    <row r="654" spans="1:7" ht="19.5" thickBot="1" x14ac:dyDescent="0.45">
      <c r="A654" s="8">
        <v>97</v>
      </c>
      <c r="B654" s="39" t="s">
        <v>365</v>
      </c>
      <c r="C654" s="37" t="s">
        <v>283</v>
      </c>
      <c r="D654" s="82" t="s">
        <v>94</v>
      </c>
      <c r="E654" s="28">
        <v>31200</v>
      </c>
      <c r="F654" s="119">
        <f>SUM(G654)</f>
        <v>1</v>
      </c>
      <c r="G654" s="111">
        <v>1</v>
      </c>
    </row>
    <row r="655" spans="1:7" ht="19.5" thickBot="1" x14ac:dyDescent="0.45">
      <c r="D655" s="48"/>
    </row>
    <row r="656" spans="1:7" x14ac:dyDescent="0.4">
      <c r="A656" s="8">
        <v>98</v>
      </c>
      <c r="B656" s="40" t="s">
        <v>366</v>
      </c>
      <c r="C656" s="12" t="s">
        <v>77</v>
      </c>
      <c r="D656" s="46" t="s">
        <v>94</v>
      </c>
      <c r="E656" s="13">
        <v>18850</v>
      </c>
      <c r="F656" s="108">
        <f>SUM(G656)</f>
        <v>1</v>
      </c>
      <c r="G656" s="104">
        <v>1</v>
      </c>
    </row>
    <row r="657" spans="1:7" ht="19.5" thickBot="1" x14ac:dyDescent="0.45">
      <c r="A657" s="8">
        <v>99</v>
      </c>
      <c r="B657" s="41" t="s">
        <v>367</v>
      </c>
      <c r="C657" s="42" t="s">
        <v>77</v>
      </c>
      <c r="D657" s="47" t="s">
        <v>94</v>
      </c>
      <c r="E657" s="17">
        <v>18850</v>
      </c>
      <c r="F657" s="110">
        <f>SUM(G657)</f>
        <v>0</v>
      </c>
      <c r="G657" s="106">
        <v>0</v>
      </c>
    </row>
    <row r="658" spans="1:7" ht="19.5" thickBot="1" x14ac:dyDescent="0.45">
      <c r="D658" s="48"/>
    </row>
    <row r="659" spans="1:7" ht="34.5" customHeight="1" x14ac:dyDescent="0.4">
      <c r="A659" s="8">
        <v>100</v>
      </c>
      <c r="B659" s="35" t="s">
        <v>549</v>
      </c>
      <c r="C659" s="34" t="s">
        <v>65</v>
      </c>
      <c r="D659" s="46" t="s">
        <v>224</v>
      </c>
      <c r="E659" s="13">
        <v>12390</v>
      </c>
      <c r="F659" s="108">
        <f>SUM(G659)</f>
        <v>0</v>
      </c>
      <c r="G659" s="104">
        <v>0</v>
      </c>
    </row>
    <row r="660" spans="1:7" x14ac:dyDescent="0.4">
      <c r="B660" s="14"/>
      <c r="D660" s="81" t="s">
        <v>248</v>
      </c>
      <c r="E660" s="11">
        <v>12390</v>
      </c>
      <c r="F660" s="113">
        <f>SUM(G660)</f>
        <v>0</v>
      </c>
      <c r="G660" s="132">
        <v>0</v>
      </c>
    </row>
    <row r="661" spans="1:7" ht="19.5" thickBot="1" x14ac:dyDescent="0.45">
      <c r="B661" s="15" t="str">
        <f>"TOTAL PCS = " &amp; SUM(F659:F661)</f>
        <v>TOTAL PCS = 0</v>
      </c>
      <c r="C661" s="16"/>
      <c r="D661" s="133" t="s">
        <v>66</v>
      </c>
      <c r="E661" s="55">
        <v>12390</v>
      </c>
      <c r="F661" s="134">
        <f>SUM(G661)</f>
        <v>0</v>
      </c>
      <c r="G661" s="112">
        <v>0</v>
      </c>
    </row>
    <row r="662" spans="1:7" ht="19.5" thickBot="1" x14ac:dyDescent="0.45">
      <c r="D662" s="48"/>
    </row>
    <row r="663" spans="1:7" ht="32.25" x14ac:dyDescent="0.4">
      <c r="A663" s="8">
        <v>101</v>
      </c>
      <c r="B663" s="35" t="s">
        <v>550</v>
      </c>
      <c r="C663" s="34" t="s">
        <v>68</v>
      </c>
      <c r="D663" s="46" t="s">
        <v>224</v>
      </c>
      <c r="E663" s="13">
        <v>15690</v>
      </c>
      <c r="F663" s="108">
        <f>SUM(G663)</f>
        <v>0</v>
      </c>
      <c r="G663" s="104">
        <v>0</v>
      </c>
    </row>
    <row r="664" spans="1:7" x14ac:dyDescent="0.4">
      <c r="B664" s="14"/>
      <c r="D664" s="81" t="s">
        <v>248</v>
      </c>
      <c r="E664" s="11">
        <v>15690</v>
      </c>
      <c r="F664" s="113">
        <f>SUM(G664)</f>
        <v>0</v>
      </c>
      <c r="G664" s="132">
        <v>0</v>
      </c>
    </row>
    <row r="665" spans="1:7" ht="19.5" thickBot="1" x14ac:dyDescent="0.45">
      <c r="B665" s="15" t="str">
        <f>"TOTAL PCS = " &amp; SUM(F663:F665)</f>
        <v>TOTAL PCS = 0</v>
      </c>
      <c r="C665" s="16"/>
      <c r="D665" s="133" t="s">
        <v>66</v>
      </c>
      <c r="E665" s="55">
        <v>15690</v>
      </c>
      <c r="F665" s="134">
        <f>SUM(G665)</f>
        <v>0</v>
      </c>
      <c r="G665" s="112">
        <v>0</v>
      </c>
    </row>
    <row r="666" spans="1:7" ht="19.5" thickBot="1" x14ac:dyDescent="0.45">
      <c r="D666" s="48"/>
    </row>
    <row r="667" spans="1:7" ht="34.5" customHeight="1" x14ac:dyDescent="0.4">
      <c r="A667" s="8">
        <v>102</v>
      </c>
      <c r="B667" s="35" t="s">
        <v>551</v>
      </c>
      <c r="C667" s="34" t="s">
        <v>95</v>
      </c>
      <c r="D667" s="46" t="s">
        <v>224</v>
      </c>
      <c r="E667" s="13">
        <v>16790</v>
      </c>
      <c r="F667" s="108">
        <f>SUM(G667)</f>
        <v>0</v>
      </c>
      <c r="G667" s="104">
        <v>0</v>
      </c>
    </row>
    <row r="668" spans="1:7" x14ac:dyDescent="0.4">
      <c r="B668" s="14"/>
      <c r="D668" s="81" t="s">
        <v>248</v>
      </c>
      <c r="E668" s="11">
        <v>16790</v>
      </c>
      <c r="F668" s="113">
        <f t="shared" ref="F668:F669" si="43">SUM(G668)</f>
        <v>0</v>
      </c>
      <c r="G668" s="132">
        <v>0</v>
      </c>
    </row>
    <row r="669" spans="1:7" ht="19.5" thickBot="1" x14ac:dyDescent="0.45">
      <c r="B669" s="15" t="str">
        <f>"TOTAL PCS = " &amp; SUM(F667:F669)</f>
        <v>TOTAL PCS = 1</v>
      </c>
      <c r="C669" s="16"/>
      <c r="D669" s="133" t="s">
        <v>66</v>
      </c>
      <c r="E669" s="55">
        <v>16790</v>
      </c>
      <c r="F669" s="134">
        <f t="shared" si="43"/>
        <v>1</v>
      </c>
      <c r="G669" s="112">
        <v>1</v>
      </c>
    </row>
    <row r="670" spans="1:7" ht="19.5" thickBot="1" x14ac:dyDescent="0.45">
      <c r="D670" s="48"/>
    </row>
    <row r="671" spans="1:7" ht="38.25" customHeight="1" x14ac:dyDescent="0.4">
      <c r="A671" s="8">
        <v>103</v>
      </c>
      <c r="B671" s="35" t="s">
        <v>552</v>
      </c>
      <c r="C671" s="34" t="s">
        <v>553</v>
      </c>
      <c r="D671" s="46" t="s">
        <v>224</v>
      </c>
      <c r="E671" s="13"/>
      <c r="F671" s="108">
        <f>SUM(G671)</f>
        <v>0</v>
      </c>
      <c r="G671" s="104">
        <v>0</v>
      </c>
    </row>
    <row r="672" spans="1:7" x14ac:dyDescent="0.4">
      <c r="B672" s="14"/>
      <c r="D672" s="81" t="s">
        <v>248</v>
      </c>
      <c r="E672" s="11"/>
      <c r="F672" s="113">
        <f t="shared" ref="F672:F673" si="44">SUM(G672)</f>
        <v>0</v>
      </c>
      <c r="G672" s="132">
        <v>0</v>
      </c>
    </row>
    <row r="673" spans="1:7" ht="19.5" thickBot="1" x14ac:dyDescent="0.45">
      <c r="B673" s="15" t="str">
        <f>"TOTAL PCS = " &amp; SUM(F671:F673)</f>
        <v>TOTAL PCS = 1</v>
      </c>
      <c r="C673" s="16"/>
      <c r="D673" s="133" t="s">
        <v>66</v>
      </c>
      <c r="E673" s="55"/>
      <c r="F673" s="134">
        <f t="shared" si="44"/>
        <v>1</v>
      </c>
      <c r="G673" s="112">
        <v>1</v>
      </c>
    </row>
    <row r="674" spans="1:7" ht="19.5" thickBot="1" x14ac:dyDescent="0.45">
      <c r="D674" s="48"/>
    </row>
    <row r="675" spans="1:7" ht="37.5" customHeight="1" x14ac:dyDescent="0.4">
      <c r="A675" s="8">
        <v>104</v>
      </c>
      <c r="B675" s="35" t="s">
        <v>554</v>
      </c>
      <c r="C675" s="34" t="s">
        <v>97</v>
      </c>
      <c r="D675" s="46" t="s">
        <v>224</v>
      </c>
      <c r="E675" s="13">
        <v>23090</v>
      </c>
      <c r="F675" s="108">
        <f>SUM(G675)</f>
        <v>0</v>
      </c>
      <c r="G675" s="104">
        <v>0</v>
      </c>
    </row>
    <row r="676" spans="1:7" x14ac:dyDescent="0.4">
      <c r="B676" s="14"/>
      <c r="D676" s="81" t="s">
        <v>248</v>
      </c>
      <c r="E676" s="11">
        <v>23090</v>
      </c>
      <c r="F676" s="113">
        <f t="shared" ref="F676:F677" si="45">SUM(G676)</f>
        <v>0</v>
      </c>
      <c r="G676" s="132">
        <v>0</v>
      </c>
    </row>
    <row r="677" spans="1:7" ht="19.5" thickBot="1" x14ac:dyDescent="0.45">
      <c r="B677" s="15" t="str">
        <f>"TOTAL PCS = " &amp; SUM(F675:F677)</f>
        <v>TOTAL PCS = 0</v>
      </c>
      <c r="C677" s="16"/>
      <c r="D677" s="133" t="s">
        <v>66</v>
      </c>
      <c r="E677" s="55">
        <v>23090</v>
      </c>
      <c r="F677" s="134">
        <f t="shared" si="45"/>
        <v>0</v>
      </c>
      <c r="G677" s="112">
        <v>0</v>
      </c>
    </row>
    <row r="678" spans="1:7" ht="19.5" thickBot="1" x14ac:dyDescent="0.45">
      <c r="D678" s="48"/>
    </row>
    <row r="679" spans="1:7" ht="37.5" customHeight="1" x14ac:dyDescent="0.4">
      <c r="A679" s="8">
        <v>105</v>
      </c>
      <c r="B679" s="35" t="s">
        <v>555</v>
      </c>
      <c r="C679" s="34" t="s">
        <v>74</v>
      </c>
      <c r="D679" s="46" t="s">
        <v>224</v>
      </c>
      <c r="E679" s="13">
        <v>31190</v>
      </c>
      <c r="F679" s="108">
        <f>SUM(G679)</f>
        <v>0</v>
      </c>
      <c r="G679" s="104">
        <v>0</v>
      </c>
    </row>
    <row r="680" spans="1:7" x14ac:dyDescent="0.4">
      <c r="B680" s="14"/>
      <c r="D680" s="81" t="s">
        <v>248</v>
      </c>
      <c r="E680" s="11">
        <v>31190</v>
      </c>
      <c r="F680" s="113">
        <f t="shared" ref="F680:F681" si="46">SUM(G680)</f>
        <v>1</v>
      </c>
      <c r="G680" s="132">
        <v>1</v>
      </c>
    </row>
    <row r="681" spans="1:7" ht="19.5" thickBot="1" x14ac:dyDescent="0.45">
      <c r="B681" s="15" t="str">
        <f>"TOTAL PCS = " &amp; SUM(F679:F681)</f>
        <v>TOTAL PCS = 1</v>
      </c>
      <c r="C681" s="16"/>
      <c r="D681" s="133" t="s">
        <v>66</v>
      </c>
      <c r="E681" s="55">
        <v>31190</v>
      </c>
      <c r="F681" s="134">
        <f t="shared" si="46"/>
        <v>0</v>
      </c>
      <c r="G681" s="112">
        <v>0</v>
      </c>
    </row>
    <row r="682" spans="1:7" ht="19.5" thickBot="1" x14ac:dyDescent="0.45">
      <c r="D682" s="48"/>
    </row>
    <row r="683" spans="1:7" ht="36.75" customHeight="1" x14ac:dyDescent="0.4">
      <c r="A683" s="8">
        <v>106</v>
      </c>
      <c r="B683" s="35" t="s">
        <v>556</v>
      </c>
      <c r="C683" s="34" t="s">
        <v>50</v>
      </c>
      <c r="D683" s="46" t="s">
        <v>54</v>
      </c>
      <c r="E683" s="13">
        <v>35800</v>
      </c>
      <c r="F683" s="108">
        <f>SUM(G683)</f>
        <v>0</v>
      </c>
      <c r="G683" s="104">
        <v>0</v>
      </c>
    </row>
    <row r="684" spans="1:7" x14ac:dyDescent="0.4">
      <c r="B684" s="14"/>
      <c r="D684" s="81" t="s">
        <v>55</v>
      </c>
      <c r="E684" s="11">
        <v>27800</v>
      </c>
      <c r="F684" s="113">
        <f t="shared" ref="F684:F689" si="47">SUM(G684)</f>
        <v>2</v>
      </c>
      <c r="G684" s="132">
        <v>2</v>
      </c>
    </row>
    <row r="685" spans="1:7" ht="19.5" thickBot="1" x14ac:dyDescent="0.45">
      <c r="B685" s="15"/>
      <c r="C685" s="16"/>
      <c r="D685" s="133" t="s">
        <v>56</v>
      </c>
      <c r="E685" s="55">
        <v>23300</v>
      </c>
      <c r="F685" s="134">
        <f t="shared" si="47"/>
        <v>2</v>
      </c>
      <c r="G685" s="112">
        <v>2</v>
      </c>
    </row>
    <row r="686" spans="1:7" ht="19.5" thickBot="1" x14ac:dyDescent="0.45">
      <c r="D686" s="48"/>
    </row>
    <row r="687" spans="1:7" ht="38.25" customHeight="1" x14ac:dyDescent="0.4">
      <c r="A687" s="8">
        <v>107</v>
      </c>
      <c r="B687" s="35" t="s">
        <v>557</v>
      </c>
      <c r="C687" s="34" t="s">
        <v>101</v>
      </c>
      <c r="D687" s="46" t="s">
        <v>54</v>
      </c>
      <c r="E687" s="13">
        <v>36600</v>
      </c>
      <c r="F687" s="121">
        <f t="shared" si="47"/>
        <v>0</v>
      </c>
      <c r="G687" s="104">
        <v>0</v>
      </c>
    </row>
    <row r="688" spans="1:7" x14ac:dyDescent="0.4">
      <c r="B688" s="14"/>
      <c r="D688" s="81" t="s">
        <v>55</v>
      </c>
      <c r="E688" s="11">
        <v>28600</v>
      </c>
      <c r="F688" s="109">
        <f t="shared" si="47"/>
        <v>1</v>
      </c>
      <c r="G688" s="132">
        <v>1</v>
      </c>
    </row>
    <row r="689" spans="1:7" ht="19.5" thickBot="1" x14ac:dyDescent="0.45">
      <c r="B689" s="15" t="str">
        <f>"TOTAL PCS = " &amp; SUM(F687:F689)</f>
        <v>TOTAL PCS = 5</v>
      </c>
      <c r="C689" s="16"/>
      <c r="D689" s="133" t="s">
        <v>56</v>
      </c>
      <c r="E689" s="55">
        <v>24100</v>
      </c>
      <c r="F689" s="134">
        <f t="shared" si="47"/>
        <v>4</v>
      </c>
      <c r="G689" s="112">
        <v>4</v>
      </c>
    </row>
    <row r="690" spans="1:7" ht="19.5" thickBot="1" x14ac:dyDescent="0.45">
      <c r="D690" s="48"/>
    </row>
    <row r="691" spans="1:7" ht="35.25" customHeight="1" x14ac:dyDescent="0.4">
      <c r="A691" s="8">
        <v>108</v>
      </c>
      <c r="B691" s="35" t="s">
        <v>558</v>
      </c>
      <c r="C691" s="34" t="s">
        <v>559</v>
      </c>
      <c r="D691" s="46" t="s">
        <v>54</v>
      </c>
      <c r="E691" s="13">
        <v>38100</v>
      </c>
      <c r="F691" s="108">
        <f>SUM(G691)</f>
        <v>0</v>
      </c>
      <c r="G691" s="104">
        <v>0</v>
      </c>
    </row>
    <row r="692" spans="1:7" x14ac:dyDescent="0.4">
      <c r="B692" s="14"/>
      <c r="D692" s="81" t="s">
        <v>55</v>
      </c>
      <c r="E692" s="11">
        <v>29000</v>
      </c>
      <c r="F692" s="113">
        <f t="shared" ref="F692:F693" si="48">SUM(G692)</f>
        <v>2</v>
      </c>
      <c r="G692" s="132">
        <v>2</v>
      </c>
    </row>
    <row r="693" spans="1:7" ht="19.5" thickBot="1" x14ac:dyDescent="0.45">
      <c r="B693" s="15" t="str">
        <f>"TOTAL PCS = " &amp; SUM(F691:F693)</f>
        <v>TOTAL PCS = 4</v>
      </c>
      <c r="C693" s="16"/>
      <c r="D693" s="133" t="s">
        <v>56</v>
      </c>
      <c r="E693" s="55">
        <v>25600</v>
      </c>
      <c r="F693" s="134">
        <f t="shared" si="48"/>
        <v>2</v>
      </c>
      <c r="G693" s="112">
        <v>2</v>
      </c>
    </row>
    <row r="694" spans="1:7" ht="19.5" thickBot="1" x14ac:dyDescent="0.45">
      <c r="D694" s="48"/>
    </row>
    <row r="695" spans="1:7" ht="19.5" thickBot="1" x14ac:dyDescent="0.45">
      <c r="A695" s="8">
        <v>109</v>
      </c>
      <c r="B695" s="36" t="s">
        <v>560</v>
      </c>
      <c r="C695" s="37" t="s">
        <v>90</v>
      </c>
      <c r="D695" s="82" t="s">
        <v>91</v>
      </c>
      <c r="E695" s="28">
        <v>8890</v>
      </c>
      <c r="F695" s="119">
        <f>SUM(G695)</f>
        <v>2</v>
      </c>
      <c r="G695" s="111">
        <v>2</v>
      </c>
    </row>
    <row r="696" spans="1:7" ht="19.5" thickBot="1" x14ac:dyDescent="0.45">
      <c r="D696" s="48"/>
    </row>
    <row r="697" spans="1:7" ht="19.5" thickBot="1" x14ac:dyDescent="0.45">
      <c r="A697" s="8">
        <v>110</v>
      </c>
      <c r="B697" s="36" t="s">
        <v>561</v>
      </c>
      <c r="C697" s="37" t="s">
        <v>92</v>
      </c>
      <c r="D697" s="82" t="s">
        <v>91</v>
      </c>
      <c r="E697" s="28">
        <v>10790</v>
      </c>
      <c r="F697" s="119">
        <f>SUM(G697)</f>
        <v>0</v>
      </c>
      <c r="G697" s="111">
        <v>0</v>
      </c>
    </row>
    <row r="698" spans="1:7" ht="19.5" thickBot="1" x14ac:dyDescent="0.45">
      <c r="D698" s="48"/>
    </row>
    <row r="699" spans="1:7" ht="39.75" customHeight="1" thickBot="1" x14ac:dyDescent="0.45">
      <c r="A699" s="8">
        <v>111</v>
      </c>
      <c r="B699" s="39" t="s">
        <v>562</v>
      </c>
      <c r="C699" s="37" t="s">
        <v>563</v>
      </c>
      <c r="D699" s="82" t="s">
        <v>91</v>
      </c>
      <c r="E699" s="28">
        <v>21889</v>
      </c>
      <c r="F699" s="119">
        <f>SUM(G699)</f>
        <v>0</v>
      </c>
      <c r="G699" s="111">
        <v>0</v>
      </c>
    </row>
    <row r="700" spans="1:7" ht="19.5" thickBot="1" x14ac:dyDescent="0.45">
      <c r="D700" s="48"/>
    </row>
    <row r="701" spans="1:7" ht="39.75" customHeight="1" thickBot="1" x14ac:dyDescent="0.45">
      <c r="A701" s="8">
        <v>112</v>
      </c>
      <c r="B701" s="39" t="s">
        <v>564</v>
      </c>
      <c r="C701" s="37" t="s">
        <v>565</v>
      </c>
      <c r="D701" s="82" t="s">
        <v>94</v>
      </c>
      <c r="E701" s="28">
        <v>24062</v>
      </c>
      <c r="F701" s="119">
        <f>SUM(G701)</f>
        <v>0</v>
      </c>
      <c r="G701" s="111">
        <v>0</v>
      </c>
    </row>
    <row r="702" spans="1:7" ht="19.5" thickBot="1" x14ac:dyDescent="0.45">
      <c r="D702" s="48"/>
    </row>
    <row r="703" spans="1:7" x14ac:dyDescent="0.4">
      <c r="A703" s="8">
        <v>113</v>
      </c>
      <c r="B703" s="33" t="s">
        <v>566</v>
      </c>
      <c r="C703" s="34" t="s">
        <v>567</v>
      </c>
      <c r="D703" s="46" t="s">
        <v>119</v>
      </c>
      <c r="E703" s="13"/>
      <c r="F703" s="108">
        <f>SUM(G703)</f>
        <v>0</v>
      </c>
      <c r="G703" s="104">
        <v>0</v>
      </c>
    </row>
    <row r="704" spans="1:7" ht="19.5" thickBot="1" x14ac:dyDescent="0.45">
      <c r="B704" s="15" t="str">
        <f>"TOTAL PCS = " &amp; SUM(F703:F704)</f>
        <v>TOTAL PCS = 0</v>
      </c>
      <c r="C704" s="16"/>
      <c r="D704" s="133" t="s">
        <v>121</v>
      </c>
      <c r="E704" s="55"/>
      <c r="F704" s="134">
        <f>SUM(G704)</f>
        <v>0</v>
      </c>
      <c r="G704" s="112">
        <v>0</v>
      </c>
    </row>
    <row r="705" spans="1:7" ht="19.5" thickBot="1" x14ac:dyDescent="0.45">
      <c r="D705" s="48"/>
    </row>
    <row r="706" spans="1:7" x14ac:dyDescent="0.4">
      <c r="A706" s="8">
        <v>114</v>
      </c>
      <c r="B706" s="33" t="s">
        <v>568</v>
      </c>
      <c r="C706" s="34" t="s">
        <v>110</v>
      </c>
      <c r="D706" s="46" t="s">
        <v>119</v>
      </c>
      <c r="E706" s="13">
        <v>11070</v>
      </c>
      <c r="F706" s="108">
        <f>SUM(G706)</f>
        <v>0</v>
      </c>
      <c r="G706" s="104">
        <v>0</v>
      </c>
    </row>
    <row r="707" spans="1:7" ht="19.5" thickBot="1" x14ac:dyDescent="0.45">
      <c r="B707" s="15" t="str">
        <f>"TOTAL PCS = " &amp; SUM(F706:F707)</f>
        <v>TOTAL PCS = 0</v>
      </c>
      <c r="C707" s="16"/>
      <c r="D707" s="133" t="s">
        <v>121</v>
      </c>
      <c r="E707" s="55">
        <v>11440</v>
      </c>
      <c r="F707" s="134">
        <f>SUM(G707)</f>
        <v>0</v>
      </c>
      <c r="G707" s="112">
        <v>0</v>
      </c>
    </row>
    <row r="708" spans="1:7" ht="19.5" thickBot="1" x14ac:dyDescent="0.45">
      <c r="D708" s="48"/>
    </row>
    <row r="709" spans="1:7" x14ac:dyDescent="0.4">
      <c r="A709" s="8">
        <v>115</v>
      </c>
      <c r="B709" s="33" t="s">
        <v>569</v>
      </c>
      <c r="C709" s="34" t="s">
        <v>570</v>
      </c>
      <c r="D709" s="46" t="s">
        <v>119</v>
      </c>
      <c r="E709" s="13">
        <v>11930</v>
      </c>
      <c r="F709" s="108">
        <f>SUM(G709)</f>
        <v>0</v>
      </c>
      <c r="G709" s="104">
        <v>0</v>
      </c>
    </row>
    <row r="710" spans="1:7" ht="19.5" thickBot="1" x14ac:dyDescent="0.45">
      <c r="B710" s="15" t="str">
        <f>"TOTAL PCS = " &amp; SUM(F709:F710)</f>
        <v>TOTAL PCS = 1</v>
      </c>
      <c r="C710" s="16"/>
      <c r="D710" s="133" t="s">
        <v>121</v>
      </c>
      <c r="E710" s="55">
        <v>13230</v>
      </c>
      <c r="F710" s="134">
        <f>SUM(G710)</f>
        <v>1</v>
      </c>
      <c r="G710" s="112">
        <v>1</v>
      </c>
    </row>
    <row r="711" spans="1:7" ht="19.5" thickBot="1" x14ac:dyDescent="0.45">
      <c r="D711" s="48"/>
    </row>
    <row r="712" spans="1:7" x14ac:dyDescent="0.4">
      <c r="A712" s="8">
        <v>116</v>
      </c>
      <c r="B712" s="33" t="s">
        <v>571</v>
      </c>
      <c r="C712" s="34" t="s">
        <v>112</v>
      </c>
      <c r="D712" s="46" t="s">
        <v>119</v>
      </c>
      <c r="E712" s="13">
        <v>18160</v>
      </c>
      <c r="F712" s="108">
        <f>SUM(G712)</f>
        <v>0</v>
      </c>
      <c r="G712" s="104">
        <v>0</v>
      </c>
    </row>
    <row r="713" spans="1:7" ht="19.5" thickBot="1" x14ac:dyDescent="0.45">
      <c r="B713" s="15" t="str">
        <f>"TOTAL PCS = " &amp; SUM(F712:F713)</f>
        <v>TOTAL PCS = 0</v>
      </c>
      <c r="C713" s="16"/>
      <c r="D713" s="133" t="s">
        <v>121</v>
      </c>
      <c r="E713" s="55">
        <v>18530</v>
      </c>
      <c r="F713" s="134">
        <f>SUM(G713)</f>
        <v>0</v>
      </c>
      <c r="G713" s="112">
        <v>0</v>
      </c>
    </row>
    <row r="714" spans="1:7" ht="19.5" thickBot="1" x14ac:dyDescent="0.45">
      <c r="D714" s="48"/>
    </row>
    <row r="715" spans="1:7" x14ac:dyDescent="0.4">
      <c r="A715" s="8">
        <v>117</v>
      </c>
      <c r="B715" s="33" t="s">
        <v>572</v>
      </c>
      <c r="C715" s="34" t="s">
        <v>104</v>
      </c>
      <c r="D715" s="46" t="s">
        <v>119</v>
      </c>
      <c r="E715" s="13">
        <v>18830</v>
      </c>
      <c r="F715" s="108">
        <f>SUM(G715)</f>
        <v>0</v>
      </c>
      <c r="G715" s="104">
        <v>0</v>
      </c>
    </row>
    <row r="716" spans="1:7" ht="19.5" thickBot="1" x14ac:dyDescent="0.45">
      <c r="B716" s="15" t="str">
        <f>"TOTAL PCS = " &amp; SUM(F715:F716)</f>
        <v>TOTAL PCS = 1</v>
      </c>
      <c r="C716" s="16"/>
      <c r="D716" s="133" t="s">
        <v>121</v>
      </c>
      <c r="E716" s="55">
        <v>19250</v>
      </c>
      <c r="F716" s="134">
        <f>SUM(G716)</f>
        <v>1</v>
      </c>
      <c r="G716" s="112">
        <v>1</v>
      </c>
    </row>
    <row r="717" spans="1:7" ht="19.5" thickBot="1" x14ac:dyDescent="0.45">
      <c r="D717" s="48"/>
    </row>
    <row r="718" spans="1:7" x14ac:dyDescent="0.4">
      <c r="A718" s="8">
        <v>118</v>
      </c>
      <c r="B718" s="33" t="s">
        <v>573</v>
      </c>
      <c r="C718" s="34" t="s">
        <v>117</v>
      </c>
      <c r="D718" s="46" t="s">
        <v>119</v>
      </c>
      <c r="E718" s="13">
        <v>5980</v>
      </c>
      <c r="F718" s="108">
        <f>SUM(G718)</f>
        <v>0</v>
      </c>
      <c r="G718" s="104">
        <v>0</v>
      </c>
    </row>
    <row r="719" spans="1:7" ht="19.5" thickBot="1" x14ac:dyDescent="0.45">
      <c r="B719" s="15" t="str">
        <f>"TOTAL PCS = " &amp; SUM(F718:F719)</f>
        <v>TOTAL PCS = 0</v>
      </c>
      <c r="C719" s="16"/>
      <c r="D719" s="133" t="s">
        <v>121</v>
      </c>
      <c r="E719" s="55">
        <v>5980</v>
      </c>
      <c r="F719" s="134">
        <f>SUM(G719)</f>
        <v>0</v>
      </c>
      <c r="G719" s="112">
        <v>0</v>
      </c>
    </row>
    <row r="720" spans="1:7" x14ac:dyDescent="0.4">
      <c r="D720" s="48"/>
    </row>
    <row r="721" spans="1:9" ht="25.5" thickBot="1" x14ac:dyDescent="0.3">
      <c r="A721" s="30" t="s">
        <v>131</v>
      </c>
      <c r="B721" s="29"/>
      <c r="C721" s="29"/>
      <c r="D721" s="45"/>
      <c r="E721" s="43"/>
      <c r="F721" s="114"/>
      <c r="G721" s="114"/>
      <c r="H721" s="29"/>
      <c r="I721" s="29"/>
    </row>
    <row r="722" spans="1:9" ht="19.5" thickBot="1" x14ac:dyDescent="0.45">
      <c r="A722" s="8">
        <v>1</v>
      </c>
      <c r="B722" s="36" t="s">
        <v>132</v>
      </c>
      <c r="C722" s="37" t="s">
        <v>133</v>
      </c>
      <c r="D722" s="82" t="s">
        <v>134</v>
      </c>
      <c r="E722" s="28">
        <v>124990</v>
      </c>
      <c r="F722" s="119">
        <f>SUM(G722)</f>
        <v>0</v>
      </c>
      <c r="G722" s="111">
        <v>0</v>
      </c>
    </row>
    <row r="723" spans="1:9" ht="19.5" thickBot="1" x14ac:dyDescent="0.45">
      <c r="D723" s="48"/>
    </row>
    <row r="724" spans="1:9" ht="19.5" thickBot="1" x14ac:dyDescent="0.45">
      <c r="A724" s="8">
        <v>2</v>
      </c>
      <c r="B724" s="36" t="s">
        <v>135</v>
      </c>
      <c r="C724" s="37" t="s">
        <v>136</v>
      </c>
      <c r="D724" s="82"/>
      <c r="E724" s="28">
        <v>99990</v>
      </c>
      <c r="F724" s="119">
        <f>SUM(G724)</f>
        <v>0</v>
      </c>
      <c r="G724" s="111">
        <v>0</v>
      </c>
    </row>
    <row r="725" spans="1:9" ht="19.5" thickBot="1" x14ac:dyDescent="0.45">
      <c r="D725" s="48"/>
    </row>
    <row r="726" spans="1:9" ht="19.5" thickBot="1" x14ac:dyDescent="0.45">
      <c r="A726" s="8">
        <v>3</v>
      </c>
      <c r="B726" s="36" t="s">
        <v>137</v>
      </c>
      <c r="C726" s="37" t="s">
        <v>138</v>
      </c>
      <c r="D726" s="82"/>
      <c r="E726" s="28">
        <v>149990</v>
      </c>
      <c r="F726" s="119">
        <f>SUM(G726)</f>
        <v>1</v>
      </c>
      <c r="G726" s="111">
        <v>1</v>
      </c>
    </row>
    <row r="727" spans="1:9" ht="19.5" thickBot="1" x14ac:dyDescent="0.45">
      <c r="D727" s="48"/>
    </row>
    <row r="728" spans="1:9" ht="19.5" thickBot="1" x14ac:dyDescent="0.45">
      <c r="A728" s="8">
        <v>4</v>
      </c>
      <c r="B728" s="36" t="s">
        <v>139</v>
      </c>
      <c r="C728" s="37" t="s">
        <v>136</v>
      </c>
      <c r="D728" s="82"/>
      <c r="E728" s="28">
        <v>60990</v>
      </c>
      <c r="F728" s="119">
        <f>SUM(G728)</f>
        <v>2</v>
      </c>
      <c r="G728" s="111">
        <v>2</v>
      </c>
    </row>
    <row r="729" spans="1:9" ht="19.5" thickBot="1" x14ac:dyDescent="0.45">
      <c r="D729" s="48"/>
    </row>
    <row r="730" spans="1:9" ht="19.5" thickBot="1" x14ac:dyDescent="0.45">
      <c r="A730" s="8">
        <v>5</v>
      </c>
      <c r="B730" s="36" t="s">
        <v>140</v>
      </c>
      <c r="C730" s="37" t="s">
        <v>141</v>
      </c>
      <c r="D730" s="82"/>
      <c r="E730" s="28">
        <v>51990</v>
      </c>
      <c r="F730" s="119">
        <f>SUM(G730)</f>
        <v>0</v>
      </c>
      <c r="G730" s="111">
        <v>0</v>
      </c>
    </row>
    <row r="731" spans="1:9" ht="19.5" thickBot="1" x14ac:dyDescent="0.45">
      <c r="D731" s="48"/>
    </row>
    <row r="732" spans="1:9" ht="19.5" thickBot="1" x14ac:dyDescent="0.45">
      <c r="A732" s="8">
        <v>6</v>
      </c>
      <c r="B732" s="36" t="s">
        <v>142</v>
      </c>
      <c r="C732" s="37" t="s">
        <v>136</v>
      </c>
      <c r="D732" s="82"/>
      <c r="E732" s="28">
        <v>108990</v>
      </c>
      <c r="F732" s="119">
        <f>SUM(G732)</f>
        <v>0</v>
      </c>
      <c r="G732" s="111">
        <v>0</v>
      </c>
    </row>
    <row r="733" spans="1:9" ht="19.5" thickBot="1" x14ac:dyDescent="0.45">
      <c r="D733" s="48"/>
    </row>
    <row r="734" spans="1:9" x14ac:dyDescent="0.4">
      <c r="A734" s="8">
        <v>7</v>
      </c>
      <c r="B734" s="33" t="s">
        <v>143</v>
      </c>
      <c r="C734" s="12" t="s">
        <v>144</v>
      </c>
      <c r="D734" s="46"/>
      <c r="E734" s="13">
        <v>52990</v>
      </c>
      <c r="F734" s="108">
        <f>SUM(G734)</f>
        <v>0</v>
      </c>
      <c r="G734" s="104">
        <v>0</v>
      </c>
    </row>
    <row r="735" spans="1:9" ht="19.5" thickBot="1" x14ac:dyDescent="0.45">
      <c r="B735" s="15"/>
      <c r="C735" s="42" t="s">
        <v>145</v>
      </c>
      <c r="D735" s="47"/>
      <c r="E735" s="17">
        <v>61990</v>
      </c>
      <c r="F735" s="110">
        <v>0</v>
      </c>
      <c r="G735" s="106">
        <v>0</v>
      </c>
    </row>
    <row r="736" spans="1:9" ht="19.5" thickBot="1" x14ac:dyDescent="0.45">
      <c r="D736" s="48"/>
    </row>
    <row r="737" spans="1:7" ht="19.5" thickBot="1" x14ac:dyDescent="0.45">
      <c r="A737" s="8">
        <v>8</v>
      </c>
      <c r="B737" s="36" t="s">
        <v>146</v>
      </c>
      <c r="C737" s="37" t="s">
        <v>145</v>
      </c>
      <c r="D737" s="82"/>
      <c r="E737" s="28">
        <v>64990</v>
      </c>
      <c r="F737" s="119">
        <f>SUM(G737)</f>
        <v>1</v>
      </c>
      <c r="G737" s="111">
        <v>1</v>
      </c>
    </row>
    <row r="738" spans="1:7" ht="19.5" thickBot="1" x14ac:dyDescent="0.45">
      <c r="D738" s="48"/>
    </row>
    <row r="739" spans="1:7" ht="19.5" thickBot="1" x14ac:dyDescent="0.45">
      <c r="A739" s="8">
        <v>9</v>
      </c>
      <c r="B739" s="36" t="s">
        <v>147</v>
      </c>
      <c r="C739" s="37" t="s">
        <v>145</v>
      </c>
      <c r="D739" s="82"/>
      <c r="E739" s="28">
        <v>59900</v>
      </c>
      <c r="F739" s="119">
        <f>SUM(G739)</f>
        <v>0</v>
      </c>
      <c r="G739" s="111">
        <v>0</v>
      </c>
    </row>
    <row r="740" spans="1:7" ht="19.5" thickBot="1" x14ac:dyDescent="0.45">
      <c r="D740" s="48"/>
    </row>
    <row r="741" spans="1:7" x14ac:dyDescent="0.4">
      <c r="A741" s="8">
        <v>10</v>
      </c>
      <c r="B741" s="33" t="s">
        <v>148</v>
      </c>
      <c r="C741" s="34" t="s">
        <v>144</v>
      </c>
      <c r="D741" s="46"/>
      <c r="E741" s="13">
        <v>32990</v>
      </c>
      <c r="F741" s="108">
        <f>SUM(G741)</f>
        <v>0</v>
      </c>
      <c r="G741" s="104">
        <v>0</v>
      </c>
    </row>
    <row r="742" spans="1:7" x14ac:dyDescent="0.4">
      <c r="B742" s="14"/>
      <c r="C742" s="51" t="s">
        <v>141</v>
      </c>
      <c r="D742" s="84"/>
      <c r="E742" s="6">
        <v>38990</v>
      </c>
      <c r="F742" s="109">
        <f>SUM(G742)</f>
        <v>0</v>
      </c>
      <c r="G742" s="105">
        <v>0</v>
      </c>
    </row>
    <row r="743" spans="1:7" ht="19.5" thickBot="1" x14ac:dyDescent="0.45">
      <c r="B743" s="15"/>
      <c r="C743" s="16" t="s">
        <v>145</v>
      </c>
      <c r="D743" s="47"/>
      <c r="E743" s="17">
        <v>44990</v>
      </c>
      <c r="F743" s="110">
        <f>SUM(G743)</f>
        <v>0</v>
      </c>
      <c r="G743" s="106">
        <v>0</v>
      </c>
    </row>
    <row r="744" spans="1:7" ht="19.5" thickBot="1" x14ac:dyDescent="0.45">
      <c r="D744" s="48"/>
    </row>
    <row r="745" spans="1:7" ht="19.5" thickBot="1" x14ac:dyDescent="0.45">
      <c r="A745" s="8">
        <v>11</v>
      </c>
      <c r="B745" s="36" t="s">
        <v>149</v>
      </c>
      <c r="C745" s="37" t="s">
        <v>145</v>
      </c>
      <c r="D745" s="82"/>
      <c r="E745" s="28">
        <v>60990</v>
      </c>
      <c r="F745" s="119">
        <f>SUM(G745)</f>
        <v>0</v>
      </c>
      <c r="G745" s="111">
        <v>0</v>
      </c>
    </row>
    <row r="746" spans="1:7" ht="19.5" thickBot="1" x14ac:dyDescent="0.45">
      <c r="D746" s="48"/>
    </row>
    <row r="747" spans="1:7" ht="19.5" thickBot="1" x14ac:dyDescent="0.45">
      <c r="A747" s="8">
        <v>12</v>
      </c>
      <c r="B747" s="36" t="s">
        <v>150</v>
      </c>
      <c r="C747" s="37" t="s">
        <v>145</v>
      </c>
      <c r="D747" s="82"/>
      <c r="E747" s="28">
        <v>62990</v>
      </c>
      <c r="F747" s="119">
        <f>SUM(G747)</f>
        <v>0</v>
      </c>
      <c r="G747" s="111">
        <v>0</v>
      </c>
    </row>
    <row r="748" spans="1:7" ht="19.5" thickBot="1" x14ac:dyDescent="0.45">
      <c r="D748" s="48"/>
    </row>
    <row r="749" spans="1:7" x14ac:dyDescent="0.4">
      <c r="A749" s="8">
        <v>13</v>
      </c>
      <c r="B749" s="33" t="s">
        <v>151</v>
      </c>
      <c r="C749" s="12" t="s">
        <v>144</v>
      </c>
      <c r="D749" s="46"/>
      <c r="E749" s="13">
        <v>49490</v>
      </c>
      <c r="F749" s="108">
        <f>SUM(G749)</f>
        <v>2</v>
      </c>
      <c r="G749" s="104">
        <v>2</v>
      </c>
    </row>
    <row r="750" spans="1:7" x14ac:dyDescent="0.4">
      <c r="B750" s="14"/>
      <c r="C750" s="5" t="s">
        <v>141</v>
      </c>
      <c r="D750" s="75"/>
      <c r="E750" s="6">
        <v>55490</v>
      </c>
      <c r="F750" s="109">
        <f>SUM(G750)</f>
        <v>3</v>
      </c>
      <c r="G750" s="105">
        <v>3</v>
      </c>
    </row>
    <row r="751" spans="1:7" ht="19.5" thickBot="1" x14ac:dyDescent="0.45">
      <c r="B751" s="15"/>
      <c r="C751" s="42" t="s">
        <v>145</v>
      </c>
      <c r="D751" s="47"/>
      <c r="E751" s="17">
        <v>63190</v>
      </c>
      <c r="F751" s="110">
        <f>SUM(G751)</f>
        <v>1</v>
      </c>
      <c r="G751" s="106">
        <v>1</v>
      </c>
    </row>
    <row r="752" spans="1:7" ht="19.5" thickBot="1" x14ac:dyDescent="0.45">
      <c r="D752" s="48"/>
    </row>
    <row r="753" spans="1:7" x14ac:dyDescent="0.4">
      <c r="A753" s="8">
        <v>14</v>
      </c>
      <c r="B753" s="33" t="s">
        <v>152</v>
      </c>
      <c r="C753" s="12" t="s">
        <v>144</v>
      </c>
      <c r="D753" s="46"/>
      <c r="E753" s="13">
        <v>41590</v>
      </c>
      <c r="F753" s="108">
        <f>SUM(G753)</f>
        <v>2</v>
      </c>
      <c r="G753" s="104">
        <v>2</v>
      </c>
    </row>
    <row r="754" spans="1:7" x14ac:dyDescent="0.4">
      <c r="B754" s="14"/>
      <c r="C754" s="5" t="s">
        <v>141</v>
      </c>
      <c r="D754" s="75"/>
      <c r="E754" s="6">
        <v>45590</v>
      </c>
      <c r="F754" s="109">
        <f>SUM(G754)</f>
        <v>0</v>
      </c>
      <c r="G754" s="105">
        <v>0</v>
      </c>
    </row>
    <row r="755" spans="1:7" ht="19.5" thickBot="1" x14ac:dyDescent="0.45">
      <c r="B755" s="15"/>
      <c r="C755" s="42" t="s">
        <v>145</v>
      </c>
      <c r="D755" s="47"/>
      <c r="E755" s="17">
        <v>50790</v>
      </c>
      <c r="F755" s="110">
        <f>SUM(G755)</f>
        <v>0</v>
      </c>
      <c r="G755" s="106">
        <v>0</v>
      </c>
    </row>
    <row r="756" spans="1:7" ht="19.5" thickBot="1" x14ac:dyDescent="0.45">
      <c r="D756" s="48"/>
    </row>
    <row r="757" spans="1:7" x14ac:dyDescent="0.4">
      <c r="A757" s="8">
        <v>15</v>
      </c>
      <c r="B757" s="33" t="s">
        <v>153</v>
      </c>
      <c r="C757" s="12" t="s">
        <v>144</v>
      </c>
      <c r="D757" s="46"/>
      <c r="E757" s="13">
        <v>43990</v>
      </c>
      <c r="F757" s="108">
        <f>SUM(G757)</f>
        <v>0</v>
      </c>
      <c r="G757" s="104">
        <v>0</v>
      </c>
    </row>
    <row r="758" spans="1:7" x14ac:dyDescent="0.4">
      <c r="B758" s="14"/>
      <c r="C758" s="5" t="s">
        <v>141</v>
      </c>
      <c r="D758" s="75"/>
      <c r="E758" s="6">
        <v>48590</v>
      </c>
      <c r="F758" s="109">
        <f>SUM(G758)</f>
        <v>0</v>
      </c>
      <c r="G758" s="105">
        <v>0</v>
      </c>
    </row>
    <row r="759" spans="1:7" ht="19.5" thickBot="1" x14ac:dyDescent="0.45">
      <c r="B759" s="15"/>
      <c r="C759" s="42" t="s">
        <v>145</v>
      </c>
      <c r="D759" s="47"/>
      <c r="E759" s="17">
        <v>57890</v>
      </c>
      <c r="F759" s="110">
        <f>SUM(G759)</f>
        <v>0</v>
      </c>
      <c r="G759" s="106">
        <v>0</v>
      </c>
    </row>
    <row r="760" spans="1:7" ht="19.5" thickBot="1" x14ac:dyDescent="0.45">
      <c r="D760" s="48"/>
    </row>
    <row r="761" spans="1:7" x14ac:dyDescent="0.4">
      <c r="A761" s="8">
        <v>16</v>
      </c>
      <c r="B761" s="33" t="s">
        <v>154</v>
      </c>
      <c r="C761" s="12" t="s">
        <v>144</v>
      </c>
      <c r="D761" s="46"/>
      <c r="E761" s="13">
        <v>64290</v>
      </c>
      <c r="F761" s="108">
        <f>SUM(G761)</f>
        <v>1</v>
      </c>
      <c r="G761" s="104">
        <v>1</v>
      </c>
    </row>
    <row r="762" spans="1:7" ht="19.5" thickBot="1" x14ac:dyDescent="0.45">
      <c r="B762" s="15"/>
      <c r="C762" s="42" t="s">
        <v>145</v>
      </c>
      <c r="D762" s="47"/>
      <c r="E762" s="17">
        <v>75290</v>
      </c>
      <c r="F762" s="110">
        <f>SUM(G762)</f>
        <v>0</v>
      </c>
      <c r="G762" s="106">
        <v>0</v>
      </c>
    </row>
    <row r="763" spans="1:7" ht="19.5" thickBot="1" x14ac:dyDescent="0.45">
      <c r="D763" s="48"/>
    </row>
    <row r="764" spans="1:7" x14ac:dyDescent="0.4">
      <c r="A764" s="8">
        <v>17</v>
      </c>
      <c r="B764" s="33" t="s">
        <v>155</v>
      </c>
      <c r="C764" s="12" t="s">
        <v>144</v>
      </c>
      <c r="D764" s="46"/>
      <c r="E764" s="13">
        <v>29990</v>
      </c>
      <c r="F764" s="108">
        <f>SUM(G764)</f>
        <v>1</v>
      </c>
      <c r="G764" s="104">
        <v>1</v>
      </c>
    </row>
    <row r="765" spans="1:7" x14ac:dyDescent="0.4">
      <c r="B765" s="14"/>
      <c r="C765" s="5" t="s">
        <v>141</v>
      </c>
      <c r="D765" s="75"/>
      <c r="E765" s="6">
        <v>35890</v>
      </c>
      <c r="F765" s="109">
        <f>SUM(G765)</f>
        <v>0</v>
      </c>
      <c r="G765" s="105">
        <v>0</v>
      </c>
    </row>
    <row r="766" spans="1:7" ht="19.5" thickBot="1" x14ac:dyDescent="0.45">
      <c r="B766" s="15"/>
      <c r="C766" s="42" t="s">
        <v>145</v>
      </c>
      <c r="D766" s="47"/>
      <c r="E766" s="17">
        <v>39590</v>
      </c>
      <c r="F766" s="110">
        <f>SUM(G766)</f>
        <v>0</v>
      </c>
      <c r="G766" s="106">
        <v>0</v>
      </c>
    </row>
    <row r="767" spans="1:7" ht="19.5" thickBot="1" x14ac:dyDescent="0.45">
      <c r="D767" s="48"/>
    </row>
    <row r="768" spans="1:7" x14ac:dyDescent="0.4">
      <c r="A768" s="8">
        <v>18</v>
      </c>
      <c r="B768" s="33" t="s">
        <v>156</v>
      </c>
      <c r="C768" s="34" t="s">
        <v>144</v>
      </c>
      <c r="D768" s="46"/>
      <c r="E768" s="13">
        <v>31890</v>
      </c>
      <c r="F768" s="108">
        <f>SUM(G768)</f>
        <v>9</v>
      </c>
      <c r="G768" s="104">
        <v>9</v>
      </c>
    </row>
    <row r="769" spans="1:7" x14ac:dyDescent="0.4">
      <c r="B769" s="14"/>
      <c r="C769" s="3" t="s">
        <v>141</v>
      </c>
      <c r="D769" s="75"/>
      <c r="E769" s="6">
        <v>37390</v>
      </c>
      <c r="F769" s="109">
        <f>SUM(G769)</f>
        <v>3</v>
      </c>
      <c r="G769" s="105">
        <v>3</v>
      </c>
    </row>
    <row r="770" spans="1:7" ht="19.5" thickBot="1" x14ac:dyDescent="0.45">
      <c r="B770" s="15"/>
      <c r="C770" s="16" t="s">
        <v>145</v>
      </c>
      <c r="D770" s="47"/>
      <c r="E770" s="17">
        <v>39990</v>
      </c>
      <c r="F770" s="110">
        <f>SUM(G770)</f>
        <v>1</v>
      </c>
      <c r="G770" s="106">
        <v>1</v>
      </c>
    </row>
    <row r="771" spans="1:7" ht="19.5" thickBot="1" x14ac:dyDescent="0.45">
      <c r="D771" s="48"/>
    </row>
    <row r="772" spans="1:7" x14ac:dyDescent="0.4">
      <c r="A772" s="8">
        <v>19</v>
      </c>
      <c r="B772" s="33" t="s">
        <v>157</v>
      </c>
      <c r="C772" s="34" t="s">
        <v>144</v>
      </c>
      <c r="D772" s="46"/>
      <c r="E772" s="13">
        <v>28590</v>
      </c>
      <c r="F772" s="108">
        <f>SUM(G772)</f>
        <v>1</v>
      </c>
      <c r="G772" s="104">
        <v>1</v>
      </c>
    </row>
    <row r="773" spans="1:7" x14ac:dyDescent="0.4">
      <c r="B773" s="14"/>
      <c r="C773" s="3" t="s">
        <v>141</v>
      </c>
      <c r="D773" s="75"/>
      <c r="E773" s="6">
        <v>33990</v>
      </c>
      <c r="F773" s="109">
        <f>SUM(G773)</f>
        <v>1</v>
      </c>
      <c r="G773" s="105">
        <v>1</v>
      </c>
    </row>
    <row r="774" spans="1:7" ht="19.5" thickBot="1" x14ac:dyDescent="0.45">
      <c r="B774" s="15"/>
      <c r="C774" s="16" t="s">
        <v>145</v>
      </c>
      <c r="D774" s="47"/>
      <c r="E774" s="17">
        <v>39990</v>
      </c>
      <c r="F774" s="110">
        <f>SUM(G774)</f>
        <v>0</v>
      </c>
      <c r="G774" s="106">
        <v>0</v>
      </c>
    </row>
    <row r="775" spans="1:7" ht="19.5" thickBot="1" x14ac:dyDescent="0.45">
      <c r="D775" s="48"/>
    </row>
    <row r="776" spans="1:7" x14ac:dyDescent="0.4">
      <c r="A776" s="8">
        <v>20</v>
      </c>
      <c r="B776" s="33" t="s">
        <v>158</v>
      </c>
      <c r="C776" s="34" t="s">
        <v>144</v>
      </c>
      <c r="D776" s="46"/>
      <c r="E776" s="13">
        <v>46390</v>
      </c>
      <c r="F776" s="108">
        <f>SUM(G776)</f>
        <v>0</v>
      </c>
      <c r="G776" s="104">
        <v>0</v>
      </c>
    </row>
    <row r="777" spans="1:7" ht="19.5" thickBot="1" x14ac:dyDescent="0.45">
      <c r="B777" s="15"/>
      <c r="C777" s="16" t="s">
        <v>145</v>
      </c>
      <c r="D777" s="47"/>
      <c r="E777" s="17">
        <v>53890</v>
      </c>
      <c r="F777" s="110">
        <f>SUM(G777)</f>
        <v>0</v>
      </c>
      <c r="G777" s="106">
        <v>0</v>
      </c>
    </row>
    <row r="778" spans="1:7" ht="19.5" thickBot="1" x14ac:dyDescent="0.45">
      <c r="D778" s="48"/>
    </row>
    <row r="779" spans="1:7" x14ac:dyDescent="0.4">
      <c r="A779" s="8">
        <v>21</v>
      </c>
      <c r="B779" s="33" t="s">
        <v>159</v>
      </c>
      <c r="C779" s="12" t="s">
        <v>144</v>
      </c>
      <c r="D779" s="46" t="s">
        <v>459</v>
      </c>
      <c r="E779" s="13">
        <v>15290</v>
      </c>
      <c r="F779" s="108">
        <f>SUM(G779)</f>
        <v>1</v>
      </c>
      <c r="G779" s="104">
        <v>1</v>
      </c>
    </row>
    <row r="780" spans="1:7" x14ac:dyDescent="0.4">
      <c r="B780" s="14"/>
      <c r="C780" s="5" t="s">
        <v>145</v>
      </c>
      <c r="D780" s="75" t="s">
        <v>460</v>
      </c>
      <c r="E780" s="6">
        <v>18990</v>
      </c>
      <c r="F780" s="109">
        <f>SUM(G780)</f>
        <v>0</v>
      </c>
      <c r="G780" s="105">
        <v>0</v>
      </c>
    </row>
    <row r="781" spans="1:7" x14ac:dyDescent="0.4">
      <c r="B781" s="14"/>
      <c r="C781" s="5" t="s">
        <v>144</v>
      </c>
      <c r="D781" s="75" t="s">
        <v>461</v>
      </c>
      <c r="E781" s="6">
        <v>16690</v>
      </c>
      <c r="F781" s="109">
        <f>SUM(G781)</f>
        <v>0</v>
      </c>
      <c r="G781" s="105">
        <v>0</v>
      </c>
    </row>
    <row r="782" spans="1:7" ht="19.5" thickBot="1" x14ac:dyDescent="0.45">
      <c r="B782" s="15"/>
      <c r="C782" s="42" t="s">
        <v>145</v>
      </c>
      <c r="D782" s="47" t="s">
        <v>461</v>
      </c>
      <c r="E782" s="17">
        <v>20490</v>
      </c>
      <c r="F782" s="110">
        <f>SUM(G782)</f>
        <v>0</v>
      </c>
      <c r="G782" s="106">
        <v>0</v>
      </c>
    </row>
    <row r="783" spans="1:7" ht="19.5" thickBot="1" x14ac:dyDescent="0.45">
      <c r="D783" s="48"/>
    </row>
    <row r="784" spans="1:7" x14ac:dyDescent="0.4">
      <c r="A784" s="8">
        <v>22</v>
      </c>
      <c r="B784" s="33" t="s">
        <v>462</v>
      </c>
      <c r="C784" s="12" t="s">
        <v>144</v>
      </c>
      <c r="D784" s="46"/>
      <c r="E784" s="13">
        <v>34990</v>
      </c>
      <c r="F784" s="108">
        <f>SUM(G784)</f>
        <v>2</v>
      </c>
      <c r="G784" s="104">
        <v>2</v>
      </c>
    </row>
    <row r="785" spans="1:7" ht="19.5" thickBot="1" x14ac:dyDescent="0.45">
      <c r="B785" s="15"/>
      <c r="C785" s="42" t="s">
        <v>136</v>
      </c>
      <c r="D785" s="47"/>
      <c r="E785" s="17">
        <v>39990</v>
      </c>
      <c r="F785" s="110">
        <f>SUM(G785)</f>
        <v>1</v>
      </c>
      <c r="G785" s="106">
        <v>1</v>
      </c>
    </row>
    <row r="786" spans="1:7" ht="19.5" thickBot="1" x14ac:dyDescent="0.45">
      <c r="D786" s="48"/>
    </row>
    <row r="787" spans="1:7" x14ac:dyDescent="0.4">
      <c r="A787" s="8">
        <v>23</v>
      </c>
      <c r="B787" s="33" t="s">
        <v>463</v>
      </c>
      <c r="C787" s="12" t="s">
        <v>144</v>
      </c>
      <c r="D787" s="46"/>
      <c r="E787" s="13">
        <v>28300</v>
      </c>
      <c r="F787" s="108">
        <f>SUM(G787)</f>
        <v>2</v>
      </c>
      <c r="G787" s="104">
        <v>2</v>
      </c>
    </row>
    <row r="788" spans="1:7" x14ac:dyDescent="0.4">
      <c r="B788" s="14"/>
      <c r="C788" s="5" t="s">
        <v>464</v>
      </c>
      <c r="D788" s="75"/>
      <c r="E788" s="6">
        <v>30200</v>
      </c>
      <c r="F788" s="109">
        <f>SUM(G788)</f>
        <v>0</v>
      </c>
      <c r="G788" s="105">
        <v>0</v>
      </c>
    </row>
    <row r="789" spans="1:7" ht="19.5" thickBot="1" x14ac:dyDescent="0.45">
      <c r="B789" s="15"/>
      <c r="C789" s="42" t="s">
        <v>136</v>
      </c>
      <c r="D789" s="47"/>
      <c r="E789" s="17">
        <v>31000</v>
      </c>
      <c r="F789" s="110">
        <f>SUM(G789)</f>
        <v>0</v>
      </c>
      <c r="G789" s="106">
        <v>0</v>
      </c>
    </row>
    <row r="790" spans="1:7" ht="19.5" thickBot="1" x14ac:dyDescent="0.45">
      <c r="D790" s="48"/>
    </row>
    <row r="791" spans="1:7" x14ac:dyDescent="0.4">
      <c r="A791" s="8">
        <v>24</v>
      </c>
      <c r="B791" s="33" t="s">
        <v>465</v>
      </c>
      <c r="C791" s="12" t="s">
        <v>144</v>
      </c>
      <c r="D791" s="46"/>
      <c r="E791" s="13">
        <v>28300</v>
      </c>
      <c r="F791" s="108">
        <f>SUM(G791)</f>
        <v>1</v>
      </c>
      <c r="G791" s="104">
        <v>1</v>
      </c>
    </row>
    <row r="792" spans="1:7" x14ac:dyDescent="0.4">
      <c r="B792" s="14"/>
      <c r="C792" s="5" t="s">
        <v>464</v>
      </c>
      <c r="D792" s="75"/>
      <c r="E792" s="6">
        <v>32200</v>
      </c>
      <c r="F792" s="109">
        <f>SUM(G792)</f>
        <v>0</v>
      </c>
      <c r="G792" s="105">
        <v>0</v>
      </c>
    </row>
    <row r="793" spans="1:7" ht="19.5" thickBot="1" x14ac:dyDescent="0.45">
      <c r="B793" s="15"/>
      <c r="C793" s="42" t="s">
        <v>136</v>
      </c>
      <c r="D793" s="47"/>
      <c r="E793" s="17">
        <v>32900</v>
      </c>
      <c r="F793" s="110">
        <f>SUM(G793)</f>
        <v>2</v>
      </c>
      <c r="G793" s="106">
        <v>2</v>
      </c>
    </row>
    <row r="794" spans="1:7" ht="19.5" thickBot="1" x14ac:dyDescent="0.45">
      <c r="D794" s="48"/>
    </row>
    <row r="795" spans="1:7" x14ac:dyDescent="0.4">
      <c r="A795" s="8">
        <v>25</v>
      </c>
      <c r="B795" s="33" t="s">
        <v>466</v>
      </c>
      <c r="C795" s="12" t="s">
        <v>144</v>
      </c>
      <c r="D795" s="46"/>
      <c r="E795" s="13">
        <v>29990</v>
      </c>
      <c r="F795" s="108">
        <f>SUM(G795)</f>
        <v>1</v>
      </c>
      <c r="G795" s="104">
        <v>1</v>
      </c>
    </row>
    <row r="796" spans="1:7" x14ac:dyDescent="0.4">
      <c r="B796" s="14"/>
      <c r="C796" s="5" t="s">
        <v>141</v>
      </c>
      <c r="D796" s="75"/>
      <c r="E796" s="6">
        <v>38990</v>
      </c>
      <c r="F796" s="109">
        <f>SUM(G796)</f>
        <v>1</v>
      </c>
      <c r="G796" s="105">
        <v>1</v>
      </c>
    </row>
    <row r="797" spans="1:7" ht="19.5" thickBot="1" x14ac:dyDescent="0.45">
      <c r="B797" s="15"/>
      <c r="C797" s="42" t="s">
        <v>145</v>
      </c>
      <c r="D797" s="47"/>
      <c r="E797" s="17">
        <v>33300</v>
      </c>
      <c r="F797" s="110">
        <f>SUM(G797)</f>
        <v>1</v>
      </c>
      <c r="G797" s="106">
        <v>1</v>
      </c>
    </row>
    <row r="798" spans="1:7" ht="19.5" thickBot="1" x14ac:dyDescent="0.45">
      <c r="D798" s="48"/>
    </row>
    <row r="799" spans="1:7" x14ac:dyDescent="0.4">
      <c r="A799" s="8">
        <v>26</v>
      </c>
      <c r="B799" s="33" t="s">
        <v>467</v>
      </c>
      <c r="C799" s="12" t="s">
        <v>144</v>
      </c>
      <c r="D799" s="46"/>
      <c r="E799" s="13">
        <v>35800</v>
      </c>
      <c r="F799" s="108">
        <f>SUM(G799)</f>
        <v>1</v>
      </c>
      <c r="G799" s="104">
        <v>1</v>
      </c>
    </row>
    <row r="800" spans="1:7" ht="19.5" thickBot="1" x14ac:dyDescent="0.45">
      <c r="B800" s="15"/>
      <c r="C800" s="42" t="s">
        <v>145</v>
      </c>
      <c r="D800" s="47"/>
      <c r="E800" s="17">
        <v>39900</v>
      </c>
      <c r="F800" s="110">
        <f>SUM(G800)</f>
        <v>0</v>
      </c>
      <c r="G800" s="106">
        <v>0</v>
      </c>
    </row>
    <row r="801" spans="1:7" ht="19.5" thickBot="1" x14ac:dyDescent="0.45">
      <c r="D801" s="48"/>
    </row>
    <row r="802" spans="1:7" x14ac:dyDescent="0.4">
      <c r="A802" s="8">
        <v>27</v>
      </c>
      <c r="B802" s="33" t="s">
        <v>468</v>
      </c>
      <c r="C802" s="12" t="s">
        <v>144</v>
      </c>
      <c r="D802" s="46"/>
      <c r="E802" s="13">
        <v>24700</v>
      </c>
      <c r="F802" s="108">
        <f>SUM(G802)</f>
        <v>0</v>
      </c>
      <c r="G802" s="104">
        <v>0</v>
      </c>
    </row>
    <row r="803" spans="1:7" ht="19.5" thickBot="1" x14ac:dyDescent="0.45">
      <c r="B803" s="15"/>
      <c r="C803" s="42" t="s">
        <v>145</v>
      </c>
      <c r="D803" s="47" t="s">
        <v>453</v>
      </c>
      <c r="E803" s="17">
        <v>27600</v>
      </c>
      <c r="F803" s="110">
        <f>SUM(G803)</f>
        <v>7</v>
      </c>
      <c r="G803" s="106">
        <v>7</v>
      </c>
    </row>
    <row r="804" spans="1:7" ht="19.5" thickBot="1" x14ac:dyDescent="0.45">
      <c r="D804" s="48"/>
    </row>
    <row r="805" spans="1:7" x14ac:dyDescent="0.4">
      <c r="A805" s="8">
        <v>28</v>
      </c>
      <c r="B805" s="33" t="s">
        <v>469</v>
      </c>
      <c r="C805" s="12" t="s">
        <v>144</v>
      </c>
      <c r="D805" s="46"/>
      <c r="E805" s="13">
        <v>17800</v>
      </c>
      <c r="F805" s="108">
        <f>SUM(G805)</f>
        <v>2</v>
      </c>
      <c r="G805" s="104">
        <v>2</v>
      </c>
    </row>
    <row r="806" spans="1:7" ht="19.5" thickBot="1" x14ac:dyDescent="0.45">
      <c r="B806" s="15"/>
      <c r="C806" s="42" t="s">
        <v>145</v>
      </c>
      <c r="D806" s="47"/>
      <c r="E806" s="17">
        <v>20700</v>
      </c>
      <c r="F806" s="110">
        <f>SUM(G806)</f>
        <v>5</v>
      </c>
      <c r="G806" s="106">
        <v>5</v>
      </c>
    </row>
    <row r="807" spans="1:7" ht="19.5" thickBot="1" x14ac:dyDescent="0.45">
      <c r="D807" s="48"/>
    </row>
    <row r="808" spans="1:7" x14ac:dyDescent="0.4">
      <c r="A808" s="8">
        <v>29</v>
      </c>
      <c r="B808" s="33" t="s">
        <v>470</v>
      </c>
      <c r="C808" s="12" t="s">
        <v>144</v>
      </c>
      <c r="D808" s="46"/>
      <c r="E808" s="13">
        <v>22990</v>
      </c>
      <c r="F808" s="108">
        <f>SUM(G808)</f>
        <v>2</v>
      </c>
      <c r="G808" s="104">
        <v>2</v>
      </c>
    </row>
    <row r="809" spans="1:7" ht="19.5" thickBot="1" x14ac:dyDescent="0.45">
      <c r="B809" s="15"/>
      <c r="C809" s="42" t="s">
        <v>145</v>
      </c>
      <c r="D809" s="47"/>
      <c r="E809" s="17">
        <v>24790</v>
      </c>
      <c r="F809" s="110">
        <f>SUM(G809)</f>
        <v>0</v>
      </c>
      <c r="G809" s="106">
        <v>0</v>
      </c>
    </row>
    <row r="810" spans="1:7" ht="19.5" thickBot="1" x14ac:dyDescent="0.45">
      <c r="D810" s="48"/>
    </row>
    <row r="811" spans="1:7" x14ac:dyDescent="0.4">
      <c r="A811" s="8">
        <v>30</v>
      </c>
      <c r="B811" s="33" t="s">
        <v>471</v>
      </c>
      <c r="C811" s="12" t="s">
        <v>144</v>
      </c>
      <c r="D811" s="46" t="s">
        <v>461</v>
      </c>
      <c r="E811" s="13">
        <v>30450</v>
      </c>
      <c r="F811" s="108">
        <f>SUM(G811)</f>
        <v>2</v>
      </c>
      <c r="G811" s="104">
        <v>2</v>
      </c>
    </row>
    <row r="812" spans="1:7" ht="19.5" thickBot="1" x14ac:dyDescent="0.45">
      <c r="B812" s="15"/>
      <c r="C812" s="42" t="s">
        <v>145</v>
      </c>
      <c r="D812" s="47"/>
      <c r="E812" s="17">
        <v>32750</v>
      </c>
      <c r="F812" s="110">
        <f>SUM(G812)</f>
        <v>0</v>
      </c>
      <c r="G812" s="106">
        <v>0</v>
      </c>
    </row>
    <row r="813" spans="1:7" ht="19.5" thickBot="1" x14ac:dyDescent="0.45">
      <c r="D813" s="48"/>
    </row>
    <row r="814" spans="1:7" x14ac:dyDescent="0.4">
      <c r="A814" s="8">
        <v>31</v>
      </c>
      <c r="B814" s="33" t="s">
        <v>472</v>
      </c>
      <c r="C814" s="12" t="s">
        <v>144</v>
      </c>
      <c r="D814" s="46"/>
      <c r="E814" s="13"/>
      <c r="F814" s="108">
        <f>SUM(G814)</f>
        <v>1</v>
      </c>
      <c r="G814" s="104">
        <v>1</v>
      </c>
    </row>
    <row r="815" spans="1:7" ht="19.5" thickBot="1" x14ac:dyDescent="0.45">
      <c r="B815" s="15"/>
      <c r="C815" s="42" t="s">
        <v>145</v>
      </c>
      <c r="D815" s="47"/>
      <c r="E815" s="17"/>
      <c r="F815" s="110">
        <f>SUM(G815)</f>
        <v>0</v>
      </c>
      <c r="G815" s="106">
        <v>0</v>
      </c>
    </row>
    <row r="816" spans="1:7" ht="19.5" thickBot="1" x14ac:dyDescent="0.45">
      <c r="D816" s="48"/>
    </row>
    <row r="817" spans="1:7" x14ac:dyDescent="0.4">
      <c r="A817" s="8">
        <v>32</v>
      </c>
      <c r="B817" s="33" t="s">
        <v>473</v>
      </c>
      <c r="C817" s="12" t="s">
        <v>144</v>
      </c>
      <c r="D817" s="46"/>
      <c r="E817" s="13"/>
      <c r="F817" s="108">
        <f>SUM(G817)</f>
        <v>0</v>
      </c>
      <c r="G817" s="104">
        <v>0</v>
      </c>
    </row>
    <row r="818" spans="1:7" ht="19.5" thickBot="1" x14ac:dyDescent="0.45">
      <c r="B818" s="15"/>
      <c r="C818" s="42" t="s">
        <v>145</v>
      </c>
      <c r="D818" s="47"/>
      <c r="E818" s="17"/>
      <c r="F818" s="110">
        <f>SUM(G818)</f>
        <v>1</v>
      </c>
      <c r="G818" s="106">
        <v>1</v>
      </c>
    </row>
    <row r="819" spans="1:7" ht="19.5" thickBot="1" x14ac:dyDescent="0.45">
      <c r="D819" s="48"/>
    </row>
    <row r="820" spans="1:7" x14ac:dyDescent="0.4">
      <c r="A820" s="8">
        <v>33</v>
      </c>
      <c r="B820" s="33" t="s">
        <v>474</v>
      </c>
      <c r="C820" s="12" t="s">
        <v>144</v>
      </c>
      <c r="D820" s="46"/>
      <c r="E820" s="13"/>
      <c r="F820" s="108">
        <f>SUM(G820)</f>
        <v>1</v>
      </c>
      <c r="G820" s="104">
        <v>1</v>
      </c>
    </row>
    <row r="821" spans="1:7" ht="19.5" thickBot="1" x14ac:dyDescent="0.45">
      <c r="B821" s="15"/>
      <c r="C821" s="42" t="s">
        <v>475</v>
      </c>
      <c r="D821" s="47"/>
      <c r="E821" s="17"/>
      <c r="F821" s="110">
        <f>SUM(G821)</f>
        <v>0</v>
      </c>
      <c r="G821" s="106">
        <v>0</v>
      </c>
    </row>
    <row r="822" spans="1:7" ht="19.5" thickBot="1" x14ac:dyDescent="0.45">
      <c r="D822" s="48"/>
    </row>
    <row r="823" spans="1:7" ht="19.5" thickBot="1" x14ac:dyDescent="0.45">
      <c r="A823" s="8">
        <v>34</v>
      </c>
      <c r="B823" s="26" t="s">
        <v>477</v>
      </c>
      <c r="C823" s="27" t="s">
        <v>145</v>
      </c>
      <c r="D823" s="82" t="s">
        <v>476</v>
      </c>
      <c r="E823" s="28">
        <v>44190</v>
      </c>
      <c r="F823" s="119">
        <f>SUM(G823)</f>
        <v>1</v>
      </c>
      <c r="G823" s="111">
        <v>1</v>
      </c>
    </row>
    <row r="824" spans="1:7" ht="19.5" thickBot="1" x14ac:dyDescent="0.45">
      <c r="D824" s="48"/>
    </row>
    <row r="825" spans="1:7" ht="19.5" thickBot="1" x14ac:dyDescent="0.45">
      <c r="A825" s="8">
        <v>35</v>
      </c>
      <c r="B825" s="26" t="s">
        <v>597</v>
      </c>
      <c r="C825" s="27"/>
      <c r="D825" s="82"/>
      <c r="E825" s="28"/>
      <c r="F825" s="119">
        <f>SUM(G825)</f>
        <v>1</v>
      </c>
      <c r="G825" s="111">
        <v>1</v>
      </c>
    </row>
    <row r="826" spans="1:7" x14ac:dyDescent="0.4">
      <c r="D826" s="48"/>
    </row>
    <row r="827" spans="1:7" ht="19.5" thickBot="1" x14ac:dyDescent="0.45">
      <c r="D827" s="48"/>
    </row>
    <row r="828" spans="1:7" ht="19.5" thickBot="1" x14ac:dyDescent="0.45">
      <c r="A828" s="8">
        <v>1</v>
      </c>
      <c r="B828" s="36" t="s">
        <v>160</v>
      </c>
      <c r="C828" s="37" t="s">
        <v>162</v>
      </c>
      <c r="D828" s="82"/>
      <c r="E828" s="28">
        <v>36190</v>
      </c>
      <c r="F828" s="119">
        <f>SUM(G828)</f>
        <v>0</v>
      </c>
      <c r="G828" s="111">
        <v>0</v>
      </c>
    </row>
    <row r="829" spans="1:7" ht="19.5" thickBot="1" x14ac:dyDescent="0.45">
      <c r="D829" s="48"/>
    </row>
    <row r="830" spans="1:7" ht="19.5" thickBot="1" x14ac:dyDescent="0.45">
      <c r="A830" s="8">
        <v>2</v>
      </c>
      <c r="B830" s="36" t="s">
        <v>161</v>
      </c>
      <c r="C830" s="37" t="s">
        <v>163</v>
      </c>
      <c r="D830" s="82"/>
      <c r="E830" s="28">
        <v>47190</v>
      </c>
      <c r="F830" s="119">
        <f>SUM(G830)</f>
        <v>1</v>
      </c>
      <c r="G830" s="111">
        <v>1</v>
      </c>
    </row>
    <row r="831" spans="1:7" ht="19.5" thickBot="1" x14ac:dyDescent="0.45">
      <c r="D831" s="48"/>
    </row>
    <row r="832" spans="1:7" ht="19.5" thickBot="1" x14ac:dyDescent="0.45">
      <c r="A832" s="8">
        <v>3</v>
      </c>
      <c r="B832" s="36" t="s">
        <v>164</v>
      </c>
      <c r="C832" s="37" t="s">
        <v>165</v>
      </c>
      <c r="D832" s="82"/>
      <c r="E832" s="28">
        <v>49900</v>
      </c>
      <c r="F832" s="119">
        <f>SUM(G832)</f>
        <v>0</v>
      </c>
      <c r="G832" s="111">
        <v>0</v>
      </c>
    </row>
    <row r="833" spans="1:7" ht="19.5" thickBot="1" x14ac:dyDescent="0.45">
      <c r="D833" s="48"/>
    </row>
    <row r="834" spans="1:7" ht="19.5" thickBot="1" x14ac:dyDescent="0.45">
      <c r="A834" s="8">
        <v>4</v>
      </c>
      <c r="B834" s="36" t="s">
        <v>489</v>
      </c>
      <c r="C834" s="37" t="s">
        <v>166</v>
      </c>
      <c r="D834" s="82"/>
      <c r="E834" s="28">
        <v>26290</v>
      </c>
      <c r="F834" s="119">
        <f>SUM(G834)</f>
        <v>1</v>
      </c>
      <c r="G834" s="111">
        <v>1</v>
      </c>
    </row>
    <row r="835" spans="1:7" ht="19.5" thickBot="1" x14ac:dyDescent="0.45">
      <c r="D835" s="48"/>
    </row>
    <row r="836" spans="1:7" ht="19.5" thickBot="1" x14ac:dyDescent="0.45">
      <c r="A836" s="8">
        <v>5</v>
      </c>
      <c r="B836" s="36" t="s">
        <v>488</v>
      </c>
      <c r="C836" s="37" t="s">
        <v>162</v>
      </c>
      <c r="D836" s="82"/>
      <c r="E836" s="28">
        <v>27590</v>
      </c>
      <c r="F836" s="119">
        <f>SUM(G836)</f>
        <v>1</v>
      </c>
      <c r="G836" s="111">
        <v>1</v>
      </c>
    </row>
    <row r="837" spans="1:7" ht="19.5" thickBot="1" x14ac:dyDescent="0.45">
      <c r="D837" s="48"/>
    </row>
    <row r="838" spans="1:7" ht="19.5" thickBot="1" x14ac:dyDescent="0.45">
      <c r="A838" s="8">
        <v>6</v>
      </c>
      <c r="B838" s="36" t="s">
        <v>490</v>
      </c>
      <c r="C838" s="37" t="s">
        <v>167</v>
      </c>
      <c r="D838" s="82"/>
      <c r="E838" s="28">
        <v>24990</v>
      </c>
      <c r="F838" s="119">
        <f>SUM(G838)</f>
        <v>0</v>
      </c>
      <c r="G838" s="111">
        <v>0</v>
      </c>
    </row>
    <row r="839" spans="1:7" ht="19.5" thickBot="1" x14ac:dyDescent="0.45">
      <c r="D839" s="48"/>
    </row>
    <row r="840" spans="1:7" ht="19.5" thickBot="1" x14ac:dyDescent="0.45">
      <c r="A840" s="8">
        <v>7</v>
      </c>
      <c r="B840" s="36" t="s">
        <v>491</v>
      </c>
      <c r="C840" s="37" t="s">
        <v>162</v>
      </c>
      <c r="D840" s="82"/>
      <c r="E840" s="28">
        <v>30490</v>
      </c>
      <c r="F840" s="119">
        <f>SUM(G840)</f>
        <v>0</v>
      </c>
      <c r="G840" s="111">
        <v>0</v>
      </c>
    </row>
    <row r="841" spans="1:7" ht="19.5" thickBot="1" x14ac:dyDescent="0.45">
      <c r="D841" s="48"/>
    </row>
    <row r="842" spans="1:7" ht="19.5" thickBot="1" x14ac:dyDescent="0.45">
      <c r="A842" s="8">
        <v>8</v>
      </c>
      <c r="B842" s="36" t="s">
        <v>492</v>
      </c>
      <c r="C842" s="37" t="s">
        <v>163</v>
      </c>
      <c r="D842" s="82"/>
      <c r="E842" s="28">
        <v>35890</v>
      </c>
      <c r="F842" s="119">
        <f>SUM(G842)</f>
        <v>0</v>
      </c>
      <c r="G842" s="111">
        <v>0</v>
      </c>
    </row>
    <row r="843" spans="1:7" ht="19.5" thickBot="1" x14ac:dyDescent="0.45">
      <c r="D843" s="48"/>
    </row>
    <row r="844" spans="1:7" ht="19.5" thickBot="1" x14ac:dyDescent="0.45">
      <c r="A844" s="8">
        <v>9</v>
      </c>
      <c r="B844" s="36" t="s">
        <v>493</v>
      </c>
      <c r="C844" s="37" t="s">
        <v>166</v>
      </c>
      <c r="D844" s="82"/>
      <c r="E844" s="28">
        <v>27590</v>
      </c>
      <c r="F844" s="119">
        <f>SUM(G844)</f>
        <v>1</v>
      </c>
      <c r="G844" s="111">
        <v>1</v>
      </c>
    </row>
    <row r="845" spans="1:7" ht="19.5" thickBot="1" x14ac:dyDescent="0.45">
      <c r="D845" s="48"/>
    </row>
    <row r="846" spans="1:7" ht="19.5" thickBot="1" x14ac:dyDescent="0.45">
      <c r="A846" s="8">
        <v>10</v>
      </c>
      <c r="B846" s="36" t="s">
        <v>494</v>
      </c>
      <c r="C846" s="37" t="s">
        <v>166</v>
      </c>
      <c r="D846" s="82"/>
      <c r="E846" s="28">
        <v>26190</v>
      </c>
      <c r="F846" s="119">
        <f>SUM(G846)</f>
        <v>0</v>
      </c>
      <c r="G846" s="111">
        <v>0</v>
      </c>
    </row>
    <row r="847" spans="1:7" ht="19.5" thickBot="1" x14ac:dyDescent="0.45">
      <c r="D847" s="48"/>
    </row>
    <row r="848" spans="1:7" ht="19.5" thickBot="1" x14ac:dyDescent="0.45">
      <c r="A848" s="8">
        <v>11</v>
      </c>
      <c r="B848" s="36" t="s">
        <v>495</v>
      </c>
      <c r="C848" s="37" t="s">
        <v>162</v>
      </c>
      <c r="D848" s="82"/>
      <c r="E848" s="28">
        <v>30490</v>
      </c>
      <c r="F848" s="119">
        <f>SUM(G848)</f>
        <v>1</v>
      </c>
      <c r="G848" s="111">
        <v>1</v>
      </c>
    </row>
    <row r="849" spans="1:7" ht="19.5" thickBot="1" x14ac:dyDescent="0.45">
      <c r="D849" s="48"/>
    </row>
    <row r="850" spans="1:7" ht="19.5" thickBot="1" x14ac:dyDescent="0.45">
      <c r="A850" s="8">
        <v>12</v>
      </c>
      <c r="B850" s="36" t="s">
        <v>496</v>
      </c>
      <c r="C850" s="37" t="s">
        <v>162</v>
      </c>
      <c r="D850" s="82"/>
      <c r="E850" s="28">
        <v>31890</v>
      </c>
      <c r="F850" s="119">
        <f>SUM(G850)</f>
        <v>0</v>
      </c>
      <c r="G850" s="111">
        <v>0</v>
      </c>
    </row>
    <row r="851" spans="1:7" ht="19.5" thickBot="1" x14ac:dyDescent="0.45">
      <c r="D851" s="48"/>
    </row>
    <row r="852" spans="1:7" ht="19.5" thickBot="1" x14ac:dyDescent="0.45">
      <c r="A852" s="8">
        <v>13</v>
      </c>
      <c r="B852" s="36" t="s">
        <v>168</v>
      </c>
      <c r="C852" s="37" t="s">
        <v>166</v>
      </c>
      <c r="D852" s="82"/>
      <c r="E852" s="28">
        <v>38490</v>
      </c>
      <c r="F852" s="119">
        <f>SUM(G852)</f>
        <v>0</v>
      </c>
      <c r="G852" s="111">
        <v>0</v>
      </c>
    </row>
    <row r="853" spans="1:7" ht="19.5" thickBot="1" x14ac:dyDescent="0.45">
      <c r="D853" s="48"/>
    </row>
    <row r="854" spans="1:7" ht="19.5" thickBot="1" x14ac:dyDescent="0.45">
      <c r="A854" s="8">
        <v>14</v>
      </c>
      <c r="B854" s="36" t="s">
        <v>169</v>
      </c>
      <c r="C854" s="37" t="s">
        <v>162</v>
      </c>
      <c r="D854" s="82"/>
      <c r="E854" s="28">
        <v>42890</v>
      </c>
      <c r="F854" s="119">
        <f>SUM(G854)</f>
        <v>0</v>
      </c>
      <c r="G854" s="111">
        <v>0</v>
      </c>
    </row>
    <row r="855" spans="1:7" ht="19.5" thickBot="1" x14ac:dyDescent="0.45">
      <c r="D855" s="48"/>
    </row>
    <row r="856" spans="1:7" ht="19.5" thickBot="1" x14ac:dyDescent="0.45">
      <c r="A856" s="8">
        <v>15</v>
      </c>
      <c r="B856" s="36" t="s">
        <v>170</v>
      </c>
      <c r="C856" s="37" t="s">
        <v>171</v>
      </c>
      <c r="D856" s="82"/>
      <c r="E856" s="28">
        <v>49790</v>
      </c>
      <c r="F856" s="119">
        <f>SUM(G856)</f>
        <v>1</v>
      </c>
      <c r="G856" s="111">
        <v>1</v>
      </c>
    </row>
    <row r="857" spans="1:7" ht="19.5" thickBot="1" x14ac:dyDescent="0.45">
      <c r="D857" s="48"/>
    </row>
    <row r="858" spans="1:7" ht="19.5" thickBot="1" x14ac:dyDescent="0.45">
      <c r="A858" s="8">
        <v>16</v>
      </c>
      <c r="B858" s="36" t="s">
        <v>172</v>
      </c>
      <c r="C858" s="37" t="s">
        <v>163</v>
      </c>
      <c r="D858" s="82"/>
      <c r="E858" s="28">
        <v>52690</v>
      </c>
      <c r="F858" s="119">
        <f>SUM(G858)</f>
        <v>1</v>
      </c>
      <c r="G858" s="111">
        <v>1</v>
      </c>
    </row>
    <row r="859" spans="1:7" ht="19.5" thickBot="1" x14ac:dyDescent="0.45">
      <c r="D859" s="48"/>
    </row>
    <row r="860" spans="1:7" ht="19.5" thickBot="1" x14ac:dyDescent="0.45">
      <c r="A860" s="8">
        <v>18</v>
      </c>
      <c r="B860" s="39" t="s">
        <v>174</v>
      </c>
      <c r="C860" s="37" t="s">
        <v>173</v>
      </c>
      <c r="D860" s="82"/>
      <c r="E860" s="28">
        <v>169990</v>
      </c>
      <c r="F860" s="119">
        <f>SUM(G860)</f>
        <v>1</v>
      </c>
      <c r="G860" s="111">
        <v>1</v>
      </c>
    </row>
    <row r="861" spans="1:7" ht="19.5" thickBot="1" x14ac:dyDescent="0.45">
      <c r="B861" s="124"/>
      <c r="D861" s="48"/>
    </row>
    <row r="862" spans="1:7" ht="19.5" thickBot="1" x14ac:dyDescent="0.45">
      <c r="A862" s="8">
        <v>19</v>
      </c>
      <c r="B862" s="39" t="s">
        <v>480</v>
      </c>
      <c r="C862" s="37" t="s">
        <v>166</v>
      </c>
      <c r="D862" s="82" t="s">
        <v>219</v>
      </c>
      <c r="E862" s="28">
        <v>11990</v>
      </c>
      <c r="F862" s="119">
        <f>SUM(G862)</f>
        <v>1</v>
      </c>
      <c r="G862" s="111">
        <v>1</v>
      </c>
    </row>
    <row r="863" spans="1:7" ht="19.5" thickBot="1" x14ac:dyDescent="0.45">
      <c r="B863" s="124"/>
      <c r="D863" s="48"/>
    </row>
    <row r="864" spans="1:7" ht="19.5" thickBot="1" x14ac:dyDescent="0.45">
      <c r="A864" s="8">
        <v>20</v>
      </c>
      <c r="B864" s="39" t="s">
        <v>481</v>
      </c>
      <c r="C864" s="37" t="s">
        <v>162</v>
      </c>
      <c r="D864" s="82" t="s">
        <v>219</v>
      </c>
      <c r="E864" s="28">
        <v>13400</v>
      </c>
      <c r="F864" s="119">
        <f>SUM(G864)</f>
        <v>1</v>
      </c>
      <c r="G864" s="111">
        <v>1</v>
      </c>
    </row>
    <row r="865" spans="1:7" ht="19.5" thickBot="1" x14ac:dyDescent="0.45">
      <c r="B865" s="124"/>
      <c r="D865" s="48"/>
    </row>
    <row r="866" spans="1:7" ht="19.5" thickBot="1" x14ac:dyDescent="0.45">
      <c r="A866" s="8">
        <v>21</v>
      </c>
      <c r="B866" s="36" t="s">
        <v>601</v>
      </c>
      <c r="C866" s="37" t="s">
        <v>162</v>
      </c>
      <c r="D866" s="82"/>
      <c r="E866" s="28"/>
      <c r="F866" s="119">
        <f>SUM(G866)</f>
        <v>2</v>
      </c>
      <c r="G866" s="111">
        <v>2</v>
      </c>
    </row>
    <row r="867" spans="1:7" ht="19.5" thickBot="1" x14ac:dyDescent="0.45">
      <c r="B867" s="124"/>
      <c r="D867" s="48"/>
    </row>
    <row r="868" spans="1:7" ht="33" thickBot="1" x14ac:dyDescent="0.45">
      <c r="A868" s="8">
        <v>22</v>
      </c>
      <c r="B868" s="39" t="s">
        <v>175</v>
      </c>
      <c r="C868" s="37" t="s">
        <v>176</v>
      </c>
      <c r="D868" s="82"/>
      <c r="E868" s="28">
        <v>60190</v>
      </c>
      <c r="F868" s="119">
        <f>SUM(G868)</f>
        <v>0</v>
      </c>
      <c r="G868" s="111">
        <v>0</v>
      </c>
    </row>
    <row r="869" spans="1:7" ht="19.5" thickBot="1" x14ac:dyDescent="0.45">
      <c r="D869" s="48"/>
    </row>
    <row r="870" spans="1:7" ht="33" thickBot="1" x14ac:dyDescent="0.45">
      <c r="A870" s="8">
        <v>23</v>
      </c>
      <c r="B870" s="39" t="s">
        <v>178</v>
      </c>
      <c r="C870" s="37" t="s">
        <v>177</v>
      </c>
      <c r="D870" s="82"/>
      <c r="E870" s="28">
        <v>41990</v>
      </c>
      <c r="F870" s="119">
        <f>SUM(G870)</f>
        <v>0</v>
      </c>
      <c r="G870" s="111">
        <v>0</v>
      </c>
    </row>
    <row r="871" spans="1:7" ht="19.5" thickBot="1" x14ac:dyDescent="0.45">
      <c r="D871" s="48"/>
    </row>
    <row r="872" spans="1:7" ht="19.5" thickBot="1" x14ac:dyDescent="0.45">
      <c r="A872" s="8">
        <v>24</v>
      </c>
      <c r="B872" s="36" t="s">
        <v>179</v>
      </c>
      <c r="C872" s="37" t="s">
        <v>166</v>
      </c>
      <c r="D872" s="82" t="s">
        <v>598</v>
      </c>
      <c r="E872" s="28">
        <v>17990</v>
      </c>
      <c r="F872" s="119">
        <f>SUM(G872)</f>
        <v>1</v>
      </c>
      <c r="G872" s="111">
        <v>1</v>
      </c>
    </row>
    <row r="873" spans="1:7" ht="19.5" thickBot="1" x14ac:dyDescent="0.45">
      <c r="D873" s="48"/>
    </row>
    <row r="874" spans="1:7" ht="19.5" thickBot="1" x14ac:dyDescent="0.45">
      <c r="A874" s="8">
        <v>25</v>
      </c>
      <c r="B874" s="36" t="s">
        <v>180</v>
      </c>
      <c r="C874" s="37" t="s">
        <v>162</v>
      </c>
      <c r="D874" s="82"/>
      <c r="E874" s="28">
        <v>19990</v>
      </c>
      <c r="F874" s="119">
        <f>SUM(G874)</f>
        <v>4</v>
      </c>
      <c r="G874" s="111">
        <v>4</v>
      </c>
    </row>
    <row r="875" spans="1:7" ht="19.5" thickBot="1" x14ac:dyDescent="0.45">
      <c r="D875" s="48"/>
    </row>
    <row r="876" spans="1:7" ht="19.5" thickBot="1" x14ac:dyDescent="0.45">
      <c r="A876" s="8">
        <v>26</v>
      </c>
      <c r="B876" s="36" t="s">
        <v>181</v>
      </c>
      <c r="C876" s="37" t="s">
        <v>166</v>
      </c>
      <c r="D876" s="82"/>
      <c r="E876" s="28">
        <v>14900</v>
      </c>
      <c r="F876" s="119">
        <f>SUM(G876)</f>
        <v>3</v>
      </c>
      <c r="G876" s="111">
        <v>3</v>
      </c>
    </row>
    <row r="877" spans="1:7" ht="19.5" thickBot="1" x14ac:dyDescent="0.45">
      <c r="D877" s="48"/>
    </row>
    <row r="878" spans="1:7" ht="19.5" thickBot="1" x14ac:dyDescent="0.45">
      <c r="A878" s="8">
        <v>27</v>
      </c>
      <c r="B878" s="36" t="s">
        <v>182</v>
      </c>
      <c r="C878" s="37" t="s">
        <v>171</v>
      </c>
      <c r="D878" s="82"/>
      <c r="E878" s="28">
        <v>16990</v>
      </c>
      <c r="F878" s="119">
        <f>SUM(G878)</f>
        <v>0</v>
      </c>
      <c r="G878" s="111">
        <v>0</v>
      </c>
    </row>
    <row r="879" spans="1:7" ht="19.5" thickBot="1" x14ac:dyDescent="0.45">
      <c r="D879" s="48"/>
    </row>
    <row r="880" spans="1:7" ht="19.5" thickBot="1" x14ac:dyDescent="0.45">
      <c r="A880" s="8">
        <v>28</v>
      </c>
      <c r="B880" s="36" t="s">
        <v>497</v>
      </c>
      <c r="C880" s="37" t="s">
        <v>166</v>
      </c>
      <c r="D880" s="82"/>
      <c r="E880" s="28">
        <v>20790</v>
      </c>
      <c r="F880" s="119">
        <f>SUM(G880)</f>
        <v>1</v>
      </c>
      <c r="G880" s="111">
        <v>1</v>
      </c>
    </row>
    <row r="881" spans="1:7" ht="19.5" thickBot="1" x14ac:dyDescent="0.45">
      <c r="D881" s="48"/>
    </row>
    <row r="882" spans="1:7" ht="19.5" thickBot="1" x14ac:dyDescent="0.45">
      <c r="A882" s="8">
        <v>29</v>
      </c>
      <c r="B882" s="36" t="s">
        <v>498</v>
      </c>
      <c r="C882" s="37" t="s">
        <v>166</v>
      </c>
      <c r="D882" s="82"/>
      <c r="E882" s="28">
        <v>19490</v>
      </c>
      <c r="F882" s="119">
        <f>SUM(G882)</f>
        <v>0</v>
      </c>
      <c r="G882" s="111">
        <v>0</v>
      </c>
    </row>
    <row r="883" spans="1:7" ht="19.5" thickBot="1" x14ac:dyDescent="0.45">
      <c r="D883" s="48"/>
    </row>
    <row r="884" spans="1:7" ht="19.5" thickBot="1" x14ac:dyDescent="0.45">
      <c r="A884" s="8">
        <v>30</v>
      </c>
      <c r="B884" s="36" t="s">
        <v>499</v>
      </c>
      <c r="C884" s="37" t="s">
        <v>171</v>
      </c>
      <c r="D884" s="82"/>
      <c r="E884" s="28">
        <v>23190</v>
      </c>
      <c r="F884" s="119">
        <f>SUM(G884)</f>
        <v>1</v>
      </c>
      <c r="G884" s="111">
        <v>1</v>
      </c>
    </row>
    <row r="885" spans="1:7" ht="19.5" thickBot="1" x14ac:dyDescent="0.45">
      <c r="D885" s="48"/>
    </row>
    <row r="886" spans="1:7" ht="19.5" thickBot="1" x14ac:dyDescent="0.45">
      <c r="A886" s="8">
        <v>31</v>
      </c>
      <c r="B886" s="36" t="s">
        <v>500</v>
      </c>
      <c r="C886" s="37" t="s">
        <v>171</v>
      </c>
      <c r="D886" s="82"/>
      <c r="E886" s="28">
        <v>28090</v>
      </c>
      <c r="F886" s="119">
        <f>SUM(G886)</f>
        <v>0</v>
      </c>
      <c r="G886" s="111">
        <v>0</v>
      </c>
    </row>
    <row r="887" spans="1:7" ht="19.5" thickBot="1" x14ac:dyDescent="0.45">
      <c r="D887" s="48"/>
    </row>
    <row r="888" spans="1:7" ht="19.5" thickBot="1" x14ac:dyDescent="0.45">
      <c r="A888" s="8">
        <v>32</v>
      </c>
      <c r="B888" s="36" t="s">
        <v>600</v>
      </c>
      <c r="C888" s="37" t="s">
        <v>171</v>
      </c>
      <c r="D888" s="82"/>
      <c r="E888" s="28"/>
      <c r="F888" s="119">
        <f>SUM(G888)</f>
        <v>2</v>
      </c>
      <c r="G888" s="111">
        <v>2</v>
      </c>
    </row>
    <row r="889" spans="1:7" ht="19.5" thickBot="1" x14ac:dyDescent="0.45">
      <c r="D889" s="48"/>
    </row>
    <row r="890" spans="1:7" ht="19.5" thickBot="1" x14ac:dyDescent="0.45">
      <c r="A890" s="8">
        <v>33</v>
      </c>
      <c r="B890" s="36" t="s">
        <v>482</v>
      </c>
      <c r="C890" s="37" t="s">
        <v>166</v>
      </c>
      <c r="D890" s="82" t="s">
        <v>483</v>
      </c>
      <c r="E890" s="28">
        <v>10290</v>
      </c>
      <c r="F890" s="119">
        <f>SUM(G890)</f>
        <v>2</v>
      </c>
      <c r="G890" s="111">
        <v>2</v>
      </c>
    </row>
    <row r="891" spans="1:7" ht="19.5" thickBot="1" x14ac:dyDescent="0.45">
      <c r="D891" s="48"/>
    </row>
    <row r="892" spans="1:7" ht="19.5" thickBot="1" x14ac:dyDescent="0.45">
      <c r="A892" s="8">
        <v>34</v>
      </c>
      <c r="B892" s="36" t="s">
        <v>501</v>
      </c>
      <c r="C892" s="37" t="s">
        <v>171</v>
      </c>
      <c r="D892" s="82"/>
      <c r="E892" s="28">
        <v>17290</v>
      </c>
      <c r="F892" s="119">
        <f>SUM(G892)</f>
        <v>1</v>
      </c>
      <c r="G892" s="111">
        <v>1</v>
      </c>
    </row>
    <row r="893" spans="1:7" ht="19.5" thickBot="1" x14ac:dyDescent="0.45">
      <c r="D893" s="48"/>
    </row>
    <row r="894" spans="1:7" ht="19.5" thickBot="1" x14ac:dyDescent="0.45">
      <c r="A894" s="8">
        <v>35</v>
      </c>
      <c r="B894" s="36" t="s">
        <v>502</v>
      </c>
      <c r="C894" s="37" t="s">
        <v>166</v>
      </c>
      <c r="D894" s="82"/>
      <c r="E894" s="28">
        <v>15190</v>
      </c>
      <c r="F894" s="119">
        <f>SUM(G894)</f>
        <v>1</v>
      </c>
      <c r="G894" s="111">
        <v>1</v>
      </c>
    </row>
    <row r="895" spans="1:7" ht="19.5" thickBot="1" x14ac:dyDescent="0.45">
      <c r="D895" s="48"/>
    </row>
    <row r="896" spans="1:7" ht="19.5" thickBot="1" x14ac:dyDescent="0.45">
      <c r="A896" s="8">
        <v>36</v>
      </c>
      <c r="B896" s="36" t="s">
        <v>599</v>
      </c>
      <c r="C896" s="27" t="s">
        <v>166</v>
      </c>
      <c r="D896" s="82"/>
      <c r="E896" s="28"/>
      <c r="F896" s="119">
        <f>SUM(G896)</f>
        <v>1</v>
      </c>
      <c r="G896" s="111">
        <v>1</v>
      </c>
    </row>
    <row r="897" spans="1:7" ht="19.5" thickBot="1" x14ac:dyDescent="0.45">
      <c r="D897" s="48"/>
    </row>
    <row r="898" spans="1:7" ht="19.5" thickBot="1" x14ac:dyDescent="0.45">
      <c r="A898" s="8">
        <v>37</v>
      </c>
      <c r="B898" s="36" t="s">
        <v>602</v>
      </c>
      <c r="C898" s="27" t="s">
        <v>171</v>
      </c>
      <c r="D898" s="82"/>
      <c r="E898" s="28"/>
      <c r="F898" s="119">
        <f>SUM(G898)</f>
        <v>1</v>
      </c>
      <c r="G898" s="111">
        <v>1</v>
      </c>
    </row>
    <row r="899" spans="1:7" ht="19.5" thickBot="1" x14ac:dyDescent="0.45">
      <c r="D899" s="48"/>
    </row>
    <row r="900" spans="1:7" x14ac:dyDescent="0.4">
      <c r="A900" s="8">
        <v>38</v>
      </c>
      <c r="B900" s="136" t="s">
        <v>603</v>
      </c>
      <c r="C900" s="12" t="s">
        <v>166</v>
      </c>
      <c r="D900" s="46"/>
      <c r="E900" s="13"/>
      <c r="F900" s="108">
        <f>SUM(G900)</f>
        <v>1</v>
      </c>
      <c r="G900" s="104">
        <v>1</v>
      </c>
    </row>
    <row r="901" spans="1:7" x14ac:dyDescent="0.4">
      <c r="B901" s="137" t="s">
        <v>604</v>
      </c>
      <c r="C901" s="5" t="s">
        <v>162</v>
      </c>
      <c r="D901" s="75"/>
      <c r="E901" s="6"/>
      <c r="F901" s="109">
        <f t="shared" ref="F901:F902" si="49">SUM(G901)</f>
        <v>2</v>
      </c>
      <c r="G901" s="105">
        <v>2</v>
      </c>
    </row>
    <row r="902" spans="1:7" ht="19.5" thickBot="1" x14ac:dyDescent="0.45">
      <c r="B902" s="138" t="s">
        <v>605</v>
      </c>
      <c r="C902" s="42" t="s">
        <v>166</v>
      </c>
      <c r="D902" s="47"/>
      <c r="E902" s="17"/>
      <c r="F902" s="110">
        <f t="shared" si="49"/>
        <v>1</v>
      </c>
      <c r="G902" s="106">
        <v>1</v>
      </c>
    </row>
    <row r="903" spans="1:7" ht="19.5" thickBot="1" x14ac:dyDescent="0.45">
      <c r="D903" s="48"/>
    </row>
    <row r="904" spans="1:7" ht="19.5" thickBot="1" x14ac:dyDescent="0.45">
      <c r="A904" s="8">
        <v>1</v>
      </c>
      <c r="B904" s="36" t="s">
        <v>484</v>
      </c>
      <c r="C904" s="37"/>
      <c r="D904" s="82" t="s">
        <v>183</v>
      </c>
      <c r="E904" s="28">
        <v>71690</v>
      </c>
      <c r="F904" s="119">
        <f>SUM(G904)</f>
        <v>1</v>
      </c>
      <c r="G904" s="111">
        <v>1</v>
      </c>
    </row>
    <row r="905" spans="1:7" ht="19.5" thickBot="1" x14ac:dyDescent="0.45">
      <c r="D905" s="48"/>
    </row>
    <row r="906" spans="1:7" ht="19.5" thickBot="1" x14ac:dyDescent="0.45">
      <c r="A906" s="8">
        <v>2</v>
      </c>
      <c r="B906" s="36" t="s">
        <v>485</v>
      </c>
      <c r="C906" s="37"/>
      <c r="D906" s="82" t="s">
        <v>184</v>
      </c>
      <c r="E906" s="28">
        <v>58390</v>
      </c>
      <c r="F906" s="119">
        <f>SUM(G906)</f>
        <v>2</v>
      </c>
      <c r="G906" s="111">
        <v>2</v>
      </c>
    </row>
    <row r="907" spans="1:7" ht="19.5" thickBot="1" x14ac:dyDescent="0.45">
      <c r="D907" s="48"/>
    </row>
    <row r="908" spans="1:7" ht="19.5" thickBot="1" x14ac:dyDescent="0.45">
      <c r="A908" s="8">
        <v>3</v>
      </c>
      <c r="B908" s="36" t="s">
        <v>486</v>
      </c>
      <c r="C908" s="37"/>
      <c r="D908" s="82" t="s">
        <v>185</v>
      </c>
      <c r="E908" s="28">
        <v>63790</v>
      </c>
      <c r="F908" s="119">
        <f>SUM(G908)</f>
        <v>1</v>
      </c>
      <c r="G908" s="111">
        <v>1</v>
      </c>
    </row>
    <row r="909" spans="1:7" ht="19.5" thickBot="1" x14ac:dyDescent="0.45">
      <c r="D909" s="48"/>
    </row>
    <row r="910" spans="1:7" ht="19.5" thickBot="1" x14ac:dyDescent="0.45">
      <c r="A910" s="8">
        <v>4</v>
      </c>
      <c r="B910" s="36" t="s">
        <v>487</v>
      </c>
      <c r="C910" s="37"/>
      <c r="D910" s="82" t="s">
        <v>186</v>
      </c>
      <c r="E910" s="28">
        <v>32990</v>
      </c>
      <c r="F910" s="119">
        <f>SUM(G910)</f>
        <v>1</v>
      </c>
      <c r="G910" s="111">
        <v>1</v>
      </c>
    </row>
    <row r="911" spans="1:7" ht="19.5" thickBot="1" x14ac:dyDescent="0.45">
      <c r="D911" s="48"/>
    </row>
    <row r="912" spans="1:7" ht="19.5" thickBot="1" x14ac:dyDescent="0.45">
      <c r="A912" s="8">
        <v>5</v>
      </c>
      <c r="B912" s="36" t="s">
        <v>187</v>
      </c>
      <c r="C912" s="37"/>
      <c r="D912" s="82"/>
      <c r="E912" s="28">
        <v>86390</v>
      </c>
      <c r="F912" s="119">
        <f>SUM(G912)</f>
        <v>0</v>
      </c>
      <c r="G912" s="111">
        <v>0</v>
      </c>
    </row>
    <row r="913" spans="1:7" ht="19.5" thickBot="1" x14ac:dyDescent="0.45">
      <c r="D913" s="48"/>
    </row>
    <row r="914" spans="1:7" ht="19.5" thickBot="1" x14ac:dyDescent="0.45">
      <c r="A914" s="8">
        <v>6</v>
      </c>
      <c r="B914" s="36" t="s">
        <v>188</v>
      </c>
      <c r="C914" s="37"/>
      <c r="D914" s="82"/>
      <c r="E914" s="28">
        <v>64890</v>
      </c>
      <c r="F914" s="119">
        <f>SUM(G914)</f>
        <v>0</v>
      </c>
      <c r="G914" s="111">
        <v>0</v>
      </c>
    </row>
    <row r="915" spans="1:7" ht="19.5" thickBot="1" x14ac:dyDescent="0.45">
      <c r="D915" s="48"/>
    </row>
    <row r="916" spans="1:7" ht="19.5" thickBot="1" x14ac:dyDescent="0.45">
      <c r="A916" s="8">
        <v>7</v>
      </c>
      <c r="B916" s="36" t="s">
        <v>189</v>
      </c>
      <c r="C916" s="37"/>
      <c r="D916" s="82"/>
      <c r="E916" s="28">
        <v>65790</v>
      </c>
      <c r="F916" s="119">
        <f>SUM(G916)</f>
        <v>1</v>
      </c>
      <c r="G916" s="111">
        <v>1</v>
      </c>
    </row>
    <row r="917" spans="1:7" ht="19.5" thickBot="1" x14ac:dyDescent="0.45">
      <c r="D917" s="48"/>
    </row>
    <row r="918" spans="1:7" ht="19.5" thickBot="1" x14ac:dyDescent="0.45">
      <c r="A918" s="8">
        <v>8</v>
      </c>
      <c r="B918" s="36" t="s">
        <v>190</v>
      </c>
      <c r="C918" s="37"/>
      <c r="D918" s="82"/>
      <c r="E918" s="28">
        <v>58390</v>
      </c>
      <c r="F918" s="119">
        <f>SUM(G918)</f>
        <v>2</v>
      </c>
      <c r="G918" s="111">
        <v>2</v>
      </c>
    </row>
    <row r="919" spans="1:7" ht="19.5" thickBot="1" x14ac:dyDescent="0.45">
      <c r="D919" s="48"/>
    </row>
    <row r="920" spans="1:7" ht="19.5" thickBot="1" x14ac:dyDescent="0.45">
      <c r="A920" s="8">
        <v>9</v>
      </c>
      <c r="B920" s="36" t="s">
        <v>479</v>
      </c>
      <c r="C920" s="37"/>
      <c r="D920" s="82"/>
      <c r="E920" s="28">
        <v>89990</v>
      </c>
      <c r="F920" s="119">
        <f>SUM(G920)</f>
        <v>1</v>
      </c>
      <c r="G920" s="111">
        <v>1</v>
      </c>
    </row>
    <row r="921" spans="1:7" ht="19.5" thickBot="1" x14ac:dyDescent="0.45">
      <c r="D921" s="48"/>
    </row>
    <row r="922" spans="1:7" ht="19.5" thickBot="1" x14ac:dyDescent="0.45">
      <c r="A922" s="8">
        <v>10</v>
      </c>
      <c r="B922" s="36" t="s">
        <v>191</v>
      </c>
      <c r="C922" s="37"/>
      <c r="D922" s="82"/>
      <c r="E922" s="28">
        <v>82590</v>
      </c>
      <c r="F922" s="119">
        <f>SUM(G922)</f>
        <v>1</v>
      </c>
      <c r="G922" s="111">
        <v>1</v>
      </c>
    </row>
    <row r="923" spans="1:7" ht="19.5" thickBot="1" x14ac:dyDescent="0.45">
      <c r="D923" s="48"/>
    </row>
    <row r="924" spans="1:7" ht="19.5" thickBot="1" x14ac:dyDescent="0.45">
      <c r="A924" s="8">
        <v>11</v>
      </c>
      <c r="B924" s="36" t="s">
        <v>192</v>
      </c>
      <c r="C924" s="37"/>
      <c r="D924" s="82"/>
      <c r="E924" s="28">
        <v>117890</v>
      </c>
      <c r="F924" s="119">
        <f>SUM(G924)</f>
        <v>0</v>
      </c>
      <c r="G924" s="111">
        <v>0</v>
      </c>
    </row>
    <row r="925" spans="1:7" ht="19.5" thickBot="1" x14ac:dyDescent="0.45">
      <c r="D925" s="48"/>
    </row>
    <row r="926" spans="1:7" ht="19.5" thickBot="1" x14ac:dyDescent="0.45">
      <c r="A926" s="8">
        <v>12</v>
      </c>
      <c r="B926" s="36" t="s">
        <v>193</v>
      </c>
      <c r="C926" s="37"/>
      <c r="D926" s="82"/>
      <c r="E926" s="28">
        <v>124890</v>
      </c>
      <c r="F926" s="119">
        <f>SUM(G926)</f>
        <v>0</v>
      </c>
      <c r="G926" s="111">
        <v>0</v>
      </c>
    </row>
    <row r="927" spans="1:7" ht="19.5" thickBot="1" x14ac:dyDescent="0.45">
      <c r="D927" s="48"/>
    </row>
    <row r="928" spans="1:7" ht="19.5" thickBot="1" x14ac:dyDescent="0.45">
      <c r="A928" s="8">
        <v>13</v>
      </c>
      <c r="B928" s="36" t="s">
        <v>194</v>
      </c>
      <c r="C928" s="37"/>
      <c r="D928" s="82"/>
      <c r="E928" s="28">
        <v>46490</v>
      </c>
      <c r="F928" s="119">
        <f>SUM(G928)</f>
        <v>1</v>
      </c>
      <c r="G928" s="111">
        <v>1</v>
      </c>
    </row>
    <row r="929" spans="1:7" ht="19.5" thickBot="1" x14ac:dyDescent="0.45">
      <c r="D929" s="48"/>
    </row>
    <row r="930" spans="1:7" ht="19.5" thickBot="1" x14ac:dyDescent="0.45">
      <c r="A930" s="8">
        <v>14</v>
      </c>
      <c r="B930" s="36" t="s">
        <v>195</v>
      </c>
      <c r="C930" s="37"/>
      <c r="D930" s="82"/>
      <c r="E930" s="28">
        <v>40690</v>
      </c>
      <c r="F930" s="119">
        <f>SUM(G930)</f>
        <v>1</v>
      </c>
      <c r="G930" s="111">
        <v>1</v>
      </c>
    </row>
    <row r="931" spans="1:7" ht="19.5" thickBot="1" x14ac:dyDescent="0.45">
      <c r="D931" s="48"/>
    </row>
    <row r="932" spans="1:7" ht="19.5" thickBot="1" x14ac:dyDescent="0.45">
      <c r="A932" s="8">
        <v>15</v>
      </c>
      <c r="B932" s="36" t="s">
        <v>478</v>
      </c>
      <c r="C932" s="37"/>
      <c r="D932" s="82"/>
      <c r="E932" s="28">
        <v>69990</v>
      </c>
      <c r="F932" s="119">
        <f>SUM(G932)</f>
        <v>1</v>
      </c>
      <c r="G932" s="111">
        <v>1</v>
      </c>
    </row>
    <row r="933" spans="1:7" ht="18" customHeight="1" thickBot="1" x14ac:dyDescent="0.45">
      <c r="D933" s="48"/>
    </row>
    <row r="934" spans="1:7" ht="40.5" customHeight="1" thickBot="1" x14ac:dyDescent="0.45">
      <c r="A934" s="8">
        <v>16</v>
      </c>
      <c r="B934" s="123" t="s">
        <v>297</v>
      </c>
      <c r="C934" s="122"/>
      <c r="D934" s="82"/>
      <c r="E934" s="28">
        <v>41990</v>
      </c>
      <c r="F934" s="119">
        <f>SUM(G934)</f>
        <v>0</v>
      </c>
      <c r="G934" s="111">
        <v>0</v>
      </c>
    </row>
    <row r="935" spans="1:7" ht="19.5" thickBot="1" x14ac:dyDescent="0.45">
      <c r="D935" s="48"/>
    </row>
    <row r="936" spans="1:7" ht="39.75" customHeight="1" thickBot="1" x14ac:dyDescent="0.45">
      <c r="A936" s="8">
        <v>1</v>
      </c>
      <c r="B936" s="39" t="s">
        <v>196</v>
      </c>
      <c r="C936" s="37" t="s">
        <v>197</v>
      </c>
      <c r="D936" s="82"/>
      <c r="E936" s="28">
        <v>249000</v>
      </c>
      <c r="F936" s="119">
        <f>SUM(G936)</f>
        <v>0</v>
      </c>
      <c r="G936" s="111">
        <v>0</v>
      </c>
    </row>
    <row r="937" spans="1:7" ht="19.5" thickBot="1" x14ac:dyDescent="0.45">
      <c r="D937" s="48"/>
    </row>
    <row r="938" spans="1:7" ht="19.5" thickBot="1" x14ac:dyDescent="0.45">
      <c r="A938" s="8">
        <v>2</v>
      </c>
      <c r="B938" s="36" t="s">
        <v>198</v>
      </c>
      <c r="C938" s="37" t="s">
        <v>199</v>
      </c>
      <c r="D938" s="82"/>
      <c r="E938" s="28">
        <v>234890</v>
      </c>
      <c r="F938" s="119">
        <f>SUM(G938)</f>
        <v>0</v>
      </c>
      <c r="G938" s="111">
        <v>0</v>
      </c>
    </row>
    <row r="939" spans="1:7" ht="19.5" thickBot="1" x14ac:dyDescent="0.45">
      <c r="D939" s="48"/>
    </row>
    <row r="940" spans="1:7" ht="19.5" thickBot="1" x14ac:dyDescent="0.45">
      <c r="A940" s="8">
        <v>3</v>
      </c>
      <c r="B940" s="36" t="s">
        <v>200</v>
      </c>
      <c r="C940" s="37" t="s">
        <v>201</v>
      </c>
      <c r="D940" s="82"/>
      <c r="E940" s="28">
        <v>139990</v>
      </c>
      <c r="F940" s="119">
        <f>SUM(G940)</f>
        <v>2</v>
      </c>
      <c r="G940" s="111">
        <v>2</v>
      </c>
    </row>
    <row r="941" spans="1:7" ht="19.5" thickBot="1" x14ac:dyDescent="0.45">
      <c r="D941" s="48"/>
    </row>
    <row r="942" spans="1:7" ht="19.5" thickBot="1" x14ac:dyDescent="0.45">
      <c r="A942" s="8">
        <v>4</v>
      </c>
      <c r="B942" s="36" t="s">
        <v>202</v>
      </c>
      <c r="C942" s="37"/>
      <c r="D942" s="82"/>
      <c r="E942" s="28">
        <v>234890</v>
      </c>
      <c r="F942" s="119">
        <f>SUM(G942)</f>
        <v>0</v>
      </c>
      <c r="G942" s="111">
        <v>0</v>
      </c>
    </row>
    <row r="943" spans="1:7" ht="19.5" thickBot="1" x14ac:dyDescent="0.45">
      <c r="D943" s="48"/>
    </row>
    <row r="944" spans="1:7" ht="19.5" thickBot="1" x14ac:dyDescent="0.45">
      <c r="A944" s="8">
        <v>5</v>
      </c>
      <c r="B944" s="36" t="s">
        <v>203</v>
      </c>
      <c r="C944" s="37"/>
      <c r="D944" s="82"/>
      <c r="E944" s="28">
        <v>116890</v>
      </c>
      <c r="F944" s="119">
        <f>SUM(G944)</f>
        <v>0</v>
      </c>
      <c r="G944" s="111">
        <v>0</v>
      </c>
    </row>
    <row r="945" spans="1:7" ht="19.5" thickBot="1" x14ac:dyDescent="0.45">
      <c r="D945" s="48"/>
    </row>
    <row r="946" spans="1:7" ht="19.5" thickBot="1" x14ac:dyDescent="0.45">
      <c r="A946" s="8">
        <v>6</v>
      </c>
      <c r="B946" s="36" t="s">
        <v>204</v>
      </c>
      <c r="C946" s="37"/>
      <c r="D946" s="82"/>
      <c r="E946" s="28">
        <v>129890</v>
      </c>
      <c r="F946" s="119">
        <f>SUM(G946)</f>
        <v>0</v>
      </c>
      <c r="G946" s="111">
        <v>0</v>
      </c>
    </row>
    <row r="947" spans="1:7" ht="19.5" thickBot="1" x14ac:dyDescent="0.45">
      <c r="D947" s="48"/>
    </row>
    <row r="948" spans="1:7" ht="19.5" thickBot="1" x14ac:dyDescent="0.45">
      <c r="A948" s="8">
        <v>7</v>
      </c>
      <c r="B948" s="36" t="s">
        <v>205</v>
      </c>
      <c r="C948" s="37"/>
      <c r="D948" s="82"/>
      <c r="E948" s="28">
        <v>153290</v>
      </c>
      <c r="F948" s="119">
        <f>SUM(G948)</f>
        <v>0</v>
      </c>
      <c r="G948" s="111">
        <v>0</v>
      </c>
    </row>
    <row r="949" spans="1:7" ht="19.5" thickBot="1" x14ac:dyDescent="0.45">
      <c r="D949" s="48"/>
    </row>
    <row r="950" spans="1:7" ht="36" customHeight="1" thickBot="1" x14ac:dyDescent="0.45">
      <c r="A950" s="8">
        <v>8</v>
      </c>
      <c r="B950" s="39" t="s">
        <v>296</v>
      </c>
      <c r="C950" s="37"/>
      <c r="D950" s="82"/>
      <c r="E950" s="28">
        <v>79290</v>
      </c>
      <c r="F950" s="119">
        <f>SUM(G950)</f>
        <v>0</v>
      </c>
      <c r="G950" s="111">
        <v>0</v>
      </c>
    </row>
    <row r="951" spans="1:7" ht="19.5" thickBot="1" x14ac:dyDescent="0.45">
      <c r="D951" s="48"/>
    </row>
    <row r="952" spans="1:7" ht="19.5" thickBot="1" x14ac:dyDescent="0.45">
      <c r="A952" s="8">
        <v>9</v>
      </c>
      <c r="B952" s="36" t="s">
        <v>206</v>
      </c>
      <c r="C952" s="37"/>
      <c r="D952" s="82"/>
      <c r="E952" s="28">
        <v>66990</v>
      </c>
      <c r="F952" s="119">
        <f>SUM(G952)</f>
        <v>0</v>
      </c>
      <c r="G952" s="111">
        <v>0</v>
      </c>
    </row>
    <row r="953" spans="1:7" ht="19.5" thickBot="1" x14ac:dyDescent="0.45">
      <c r="D953" s="48"/>
    </row>
    <row r="954" spans="1:7" ht="19.5" thickBot="1" x14ac:dyDescent="0.45">
      <c r="A954" s="8">
        <v>10</v>
      </c>
      <c r="B954" s="36" t="s">
        <v>207</v>
      </c>
      <c r="C954" s="37"/>
      <c r="D954" s="82"/>
      <c r="E954" s="28">
        <v>79590</v>
      </c>
      <c r="F954" s="119">
        <f>SUM(G954)</f>
        <v>0</v>
      </c>
      <c r="G954" s="111">
        <v>0</v>
      </c>
    </row>
    <row r="955" spans="1:7" ht="19.5" thickBot="1" x14ac:dyDescent="0.45">
      <c r="D955" s="48"/>
    </row>
    <row r="956" spans="1:7" ht="19.5" thickBot="1" x14ac:dyDescent="0.45">
      <c r="A956" s="8">
        <v>11</v>
      </c>
      <c r="B956" s="36" t="s">
        <v>208</v>
      </c>
      <c r="C956" s="37"/>
      <c r="D956" s="82"/>
      <c r="E956" s="28">
        <v>143890</v>
      </c>
      <c r="F956" s="119">
        <f>SUM(G956)</f>
        <v>0</v>
      </c>
      <c r="G956" s="111">
        <v>0</v>
      </c>
    </row>
    <row r="957" spans="1:7" ht="19.5" thickBot="1" x14ac:dyDescent="0.45">
      <c r="D957" s="48"/>
    </row>
    <row r="958" spans="1:7" ht="19.5" thickBot="1" x14ac:dyDescent="0.45">
      <c r="A958" s="8">
        <v>12</v>
      </c>
      <c r="B958" s="36" t="s">
        <v>209</v>
      </c>
      <c r="C958" s="37"/>
      <c r="D958" s="82"/>
      <c r="E958" s="28">
        <v>59900</v>
      </c>
      <c r="F958" s="119">
        <f>SUM(G958)</f>
        <v>0</v>
      </c>
      <c r="G958" s="111">
        <v>0</v>
      </c>
    </row>
    <row r="959" spans="1:7" ht="19.5" thickBot="1" x14ac:dyDescent="0.45">
      <c r="D959" s="48"/>
    </row>
    <row r="960" spans="1:7" ht="19.5" thickBot="1" x14ac:dyDescent="0.45">
      <c r="A960" s="8">
        <v>13</v>
      </c>
      <c r="B960" s="36" t="s">
        <v>210</v>
      </c>
      <c r="C960" s="37"/>
      <c r="D960" s="82"/>
      <c r="E960" s="28">
        <v>159990</v>
      </c>
      <c r="F960" s="119">
        <f>SUM(G960)</f>
        <v>0</v>
      </c>
      <c r="G960" s="111">
        <v>0</v>
      </c>
    </row>
    <row r="961" spans="1:8" ht="19.5" thickBot="1" x14ac:dyDescent="0.45">
      <c r="D961" s="48"/>
    </row>
    <row r="962" spans="1:8" ht="19.5" thickBot="1" x14ac:dyDescent="0.45">
      <c r="A962" s="8">
        <v>14</v>
      </c>
      <c r="B962" s="36" t="s">
        <v>211</v>
      </c>
      <c r="C962" s="37"/>
      <c r="D962" s="82"/>
      <c r="E962" s="28">
        <v>199000</v>
      </c>
      <c r="F962" s="119">
        <f>SUM(G962)</f>
        <v>0</v>
      </c>
      <c r="G962" s="111">
        <v>0</v>
      </c>
    </row>
    <row r="963" spans="1:8" ht="19.5" thickBot="1" x14ac:dyDescent="0.45">
      <c r="D963" s="48"/>
    </row>
    <row r="964" spans="1:8" ht="19.5" thickBot="1" x14ac:dyDescent="0.45">
      <c r="A964" s="8">
        <v>15</v>
      </c>
      <c r="B964" s="36" t="s">
        <v>213</v>
      </c>
      <c r="C964" s="37"/>
      <c r="D964" s="82"/>
      <c r="E964" s="28">
        <v>48590</v>
      </c>
      <c r="F964" s="119">
        <f>SUM(G964)</f>
        <v>1</v>
      </c>
      <c r="G964" s="111">
        <v>1</v>
      </c>
    </row>
    <row r="965" spans="1:8" ht="19.5" thickBot="1" x14ac:dyDescent="0.45">
      <c r="D965" s="48"/>
    </row>
    <row r="966" spans="1:8" ht="19.5" thickBot="1" x14ac:dyDescent="0.45">
      <c r="A966" s="8">
        <v>16</v>
      </c>
      <c r="B966" s="36" t="s">
        <v>212</v>
      </c>
      <c r="C966" s="37"/>
      <c r="D966" s="82"/>
      <c r="E966" s="28">
        <v>48590</v>
      </c>
      <c r="F966" s="119">
        <f>SUM(G966)</f>
        <v>0</v>
      </c>
      <c r="G966" s="111">
        <v>0</v>
      </c>
    </row>
    <row r="967" spans="1:8" x14ac:dyDescent="0.4">
      <c r="D967" s="48"/>
    </row>
    <row r="968" spans="1:8" ht="24.75" x14ac:dyDescent="0.5">
      <c r="A968" s="32" t="s">
        <v>521</v>
      </c>
      <c r="B968" s="31"/>
      <c r="C968" s="31"/>
      <c r="D968" s="91"/>
      <c r="E968" s="31"/>
      <c r="F968" s="115"/>
      <c r="G968" s="115"/>
      <c r="H968" s="31"/>
    </row>
    <row r="969" spans="1:8" ht="19.5" thickBot="1" x14ac:dyDescent="0.45">
      <c r="D969" s="48"/>
    </row>
    <row r="970" spans="1:8" ht="19.5" thickBot="1" x14ac:dyDescent="0.45">
      <c r="A970" s="8">
        <v>1</v>
      </c>
      <c r="B970" s="36" t="s">
        <v>214</v>
      </c>
      <c r="C970" s="37"/>
      <c r="D970" s="82" t="s">
        <v>215</v>
      </c>
      <c r="E970" s="28">
        <v>149000</v>
      </c>
      <c r="F970" s="119">
        <f>SUM(G970)</f>
        <v>0</v>
      </c>
      <c r="G970" s="111">
        <v>0</v>
      </c>
    </row>
    <row r="971" spans="1:8" ht="19.5" thickBot="1" x14ac:dyDescent="0.45">
      <c r="D971" s="48"/>
    </row>
    <row r="972" spans="1:8" ht="19.5" thickBot="1" x14ac:dyDescent="0.45">
      <c r="A972" s="8">
        <v>2</v>
      </c>
      <c r="B972" s="36" t="s">
        <v>216</v>
      </c>
      <c r="C972" s="37"/>
      <c r="D972" s="82" t="s">
        <v>215</v>
      </c>
      <c r="E972" s="28">
        <v>69990</v>
      </c>
      <c r="F972" s="119">
        <f>SUM(G972)</f>
        <v>0</v>
      </c>
      <c r="G972" s="111">
        <v>0</v>
      </c>
    </row>
    <row r="973" spans="1:8" ht="19.5" thickBot="1" x14ac:dyDescent="0.45">
      <c r="D973" s="48"/>
    </row>
    <row r="974" spans="1:8" ht="19.5" thickBot="1" x14ac:dyDescent="0.45">
      <c r="A974" s="8">
        <v>3</v>
      </c>
      <c r="B974" s="36" t="s">
        <v>217</v>
      </c>
      <c r="C974" s="37"/>
      <c r="D974" s="82" t="s">
        <v>223</v>
      </c>
      <c r="E974" s="28">
        <v>21990</v>
      </c>
      <c r="F974" s="119">
        <f>SUM(G974)</f>
        <v>0</v>
      </c>
      <c r="G974" s="111">
        <v>0</v>
      </c>
    </row>
    <row r="975" spans="1:8" ht="19.5" thickBot="1" x14ac:dyDescent="0.45">
      <c r="D975" s="48"/>
    </row>
    <row r="976" spans="1:8" x14ac:dyDescent="0.4">
      <c r="A976" s="8">
        <v>4</v>
      </c>
      <c r="B976" s="33" t="s">
        <v>218</v>
      </c>
      <c r="C976" s="34"/>
      <c r="D976" s="46" t="s">
        <v>219</v>
      </c>
      <c r="E976" s="13">
        <v>18890</v>
      </c>
      <c r="F976" s="108">
        <f>SUM(G976)</f>
        <v>0</v>
      </c>
      <c r="G976" s="104">
        <v>0</v>
      </c>
    </row>
    <row r="977" spans="1:8" ht="19.5" thickBot="1" x14ac:dyDescent="0.45">
      <c r="B977" s="15" t="str">
        <f>"TOTAL PCS = " &amp; SUM(F976:F977)</f>
        <v>TOTAL PCS = 3</v>
      </c>
      <c r="C977" s="16"/>
      <c r="D977" s="47" t="s">
        <v>224</v>
      </c>
      <c r="E977" s="17">
        <v>19490</v>
      </c>
      <c r="F977" s="110">
        <f>SUM(G977)</f>
        <v>3</v>
      </c>
      <c r="G977" s="106">
        <v>3</v>
      </c>
      <c r="H977" t="s">
        <v>548</v>
      </c>
    </row>
    <row r="978" spans="1:8" ht="19.5" thickBot="1" x14ac:dyDescent="0.45">
      <c r="D978" s="48"/>
    </row>
    <row r="979" spans="1:8" ht="19.5" thickBot="1" x14ac:dyDescent="0.45">
      <c r="A979" s="8">
        <v>5</v>
      </c>
      <c r="B979" s="36" t="s">
        <v>220</v>
      </c>
      <c r="C979" s="37"/>
      <c r="D979" s="82" t="s">
        <v>221</v>
      </c>
      <c r="E979" s="28">
        <v>20490</v>
      </c>
      <c r="F979" s="119">
        <f>SUM(G979)</f>
        <v>0</v>
      </c>
      <c r="G979" s="111">
        <v>0</v>
      </c>
    </row>
    <row r="980" spans="1:8" ht="16.5" customHeight="1" thickBot="1" x14ac:dyDescent="0.45">
      <c r="D980" s="48"/>
    </row>
    <row r="981" spans="1:8" ht="38.25" customHeight="1" thickBot="1" x14ac:dyDescent="0.45">
      <c r="A981" s="8">
        <v>6</v>
      </c>
      <c r="B981" s="39" t="s">
        <v>389</v>
      </c>
      <c r="C981" s="44" t="s">
        <v>222</v>
      </c>
      <c r="D981" s="82"/>
      <c r="E981" s="28">
        <v>23290</v>
      </c>
      <c r="F981" s="119">
        <f>SUM(G981)</f>
        <v>0</v>
      </c>
      <c r="G981" s="111">
        <v>0</v>
      </c>
    </row>
    <row r="982" spans="1:8" ht="19.5" thickBot="1" x14ac:dyDescent="0.45">
      <c r="D982" s="48"/>
    </row>
    <row r="983" spans="1:8" ht="19.5" thickBot="1" x14ac:dyDescent="0.45">
      <c r="A983" s="8">
        <v>7</v>
      </c>
      <c r="B983" s="39" t="s">
        <v>390</v>
      </c>
      <c r="C983" s="37"/>
      <c r="D983" s="82" t="s">
        <v>223</v>
      </c>
      <c r="E983" s="28">
        <v>24900</v>
      </c>
      <c r="F983" s="119">
        <f>SUM(G983)</f>
        <v>0</v>
      </c>
      <c r="G983" s="111">
        <v>0</v>
      </c>
    </row>
    <row r="984" spans="1:8" ht="19.5" thickBot="1" x14ac:dyDescent="0.45">
      <c r="D984" s="48"/>
    </row>
    <row r="985" spans="1:8" ht="19.5" thickBot="1" x14ac:dyDescent="0.45">
      <c r="A985" s="8">
        <v>8</v>
      </c>
      <c r="B985" s="39" t="s">
        <v>391</v>
      </c>
      <c r="C985" s="37"/>
      <c r="D985" s="82" t="s">
        <v>223</v>
      </c>
      <c r="E985" s="28">
        <v>24900</v>
      </c>
      <c r="F985" s="119">
        <f>SUM(G985)</f>
        <v>0</v>
      </c>
      <c r="G985" s="111">
        <v>0</v>
      </c>
    </row>
    <row r="986" spans="1:8" ht="19.5" thickBot="1" x14ac:dyDescent="0.45">
      <c r="D986" s="48"/>
    </row>
    <row r="987" spans="1:8" ht="19.5" thickBot="1" x14ac:dyDescent="0.45">
      <c r="A987" s="8">
        <v>9</v>
      </c>
      <c r="B987" s="39" t="s">
        <v>392</v>
      </c>
      <c r="C987" s="37"/>
      <c r="D987" s="82" t="s">
        <v>223</v>
      </c>
      <c r="E987" s="28">
        <v>22900</v>
      </c>
      <c r="F987" s="119">
        <f>SUM(G987)</f>
        <v>0</v>
      </c>
      <c r="G987" s="111">
        <v>0</v>
      </c>
    </row>
    <row r="988" spans="1:8" ht="19.5" thickBot="1" x14ac:dyDescent="0.45">
      <c r="D988" s="48"/>
    </row>
    <row r="989" spans="1:8" ht="19.5" thickBot="1" x14ac:dyDescent="0.45">
      <c r="A989" s="8">
        <v>10</v>
      </c>
      <c r="B989" s="39" t="s">
        <v>393</v>
      </c>
      <c r="C989" s="37"/>
      <c r="D989" s="82" t="s">
        <v>225</v>
      </c>
      <c r="E989" s="28">
        <v>19900</v>
      </c>
      <c r="F989" s="119">
        <f>SUM(G989)</f>
        <v>0</v>
      </c>
      <c r="G989" s="111">
        <v>0</v>
      </c>
    </row>
    <row r="990" spans="1:8" ht="19.5" thickBot="1" x14ac:dyDescent="0.45">
      <c r="D990" s="48"/>
    </row>
    <row r="991" spans="1:8" ht="19.5" thickBot="1" x14ac:dyDescent="0.45">
      <c r="A991" s="8">
        <v>11</v>
      </c>
      <c r="B991" s="39" t="s">
        <v>394</v>
      </c>
      <c r="C991" s="37"/>
      <c r="D991" s="82" t="s">
        <v>226</v>
      </c>
      <c r="E991" s="28">
        <v>14900</v>
      </c>
      <c r="F991" s="119">
        <f>SUM(G991)</f>
        <v>0</v>
      </c>
      <c r="G991" s="111">
        <v>0</v>
      </c>
    </row>
    <row r="992" spans="1:8" ht="19.5" thickBot="1" x14ac:dyDescent="0.45">
      <c r="D992" s="48"/>
    </row>
    <row r="993" spans="1:7" ht="19.5" thickBot="1" x14ac:dyDescent="0.45">
      <c r="A993" s="8">
        <v>12</v>
      </c>
      <c r="B993" s="39" t="s">
        <v>395</v>
      </c>
      <c r="C993" s="37"/>
      <c r="D993" s="82" t="s">
        <v>227</v>
      </c>
      <c r="E993" s="28">
        <v>9900</v>
      </c>
      <c r="F993" s="119">
        <f>SUM(G993)</f>
        <v>4</v>
      </c>
      <c r="G993" s="111">
        <v>4</v>
      </c>
    </row>
    <row r="994" spans="1:7" ht="19.5" thickBot="1" x14ac:dyDescent="0.45">
      <c r="D994" s="48"/>
    </row>
    <row r="995" spans="1:7" ht="19.5" thickBot="1" x14ac:dyDescent="0.45">
      <c r="A995" s="8">
        <v>13</v>
      </c>
      <c r="B995" s="39" t="s">
        <v>396</v>
      </c>
      <c r="C995" s="37"/>
      <c r="D995" s="82" t="s">
        <v>228</v>
      </c>
      <c r="E995" s="28">
        <v>23900</v>
      </c>
      <c r="F995" s="119">
        <f>SUM(G995)</f>
        <v>0</v>
      </c>
      <c r="G995" s="111">
        <v>0</v>
      </c>
    </row>
    <row r="996" spans="1:7" ht="19.5" thickBot="1" x14ac:dyDescent="0.45">
      <c r="D996" s="48"/>
    </row>
    <row r="997" spans="1:7" ht="19.5" thickBot="1" x14ac:dyDescent="0.45">
      <c r="A997" s="8">
        <v>14</v>
      </c>
      <c r="B997" s="39" t="s">
        <v>397</v>
      </c>
      <c r="C997" s="37"/>
      <c r="D997" s="82" t="s">
        <v>227</v>
      </c>
      <c r="E997" s="28">
        <v>29900</v>
      </c>
      <c r="F997" s="119">
        <f>SUM(G997)</f>
        <v>0</v>
      </c>
      <c r="G997" s="111">
        <v>0</v>
      </c>
    </row>
    <row r="998" spans="1:7" ht="19.5" thickBot="1" x14ac:dyDescent="0.45">
      <c r="D998" s="48"/>
    </row>
    <row r="999" spans="1:7" ht="19.5" thickBot="1" x14ac:dyDescent="0.45">
      <c r="A999" s="8">
        <v>15</v>
      </c>
      <c r="B999" s="39" t="s">
        <v>398</v>
      </c>
      <c r="C999" s="37"/>
      <c r="D999" s="82" t="s">
        <v>229</v>
      </c>
      <c r="E999" s="28">
        <v>8900</v>
      </c>
      <c r="F999" s="119">
        <f>SUM(G999)</f>
        <v>3</v>
      </c>
      <c r="G999" s="111">
        <v>3</v>
      </c>
    </row>
    <row r="1000" spans="1:7" ht="19.5" thickBot="1" x14ac:dyDescent="0.45">
      <c r="D1000" s="48"/>
    </row>
    <row r="1001" spans="1:7" ht="19.5" thickBot="1" x14ac:dyDescent="0.45">
      <c r="A1001" s="8">
        <v>16</v>
      </c>
      <c r="B1001" s="39" t="s">
        <v>399</v>
      </c>
      <c r="C1001" s="37"/>
      <c r="D1001" s="82" t="s">
        <v>230</v>
      </c>
      <c r="E1001" s="28">
        <v>18900</v>
      </c>
      <c r="F1001" s="119">
        <f>SUM(G1001)</f>
        <v>0</v>
      </c>
      <c r="G1001" s="111">
        <v>0</v>
      </c>
    </row>
    <row r="1002" spans="1:7" ht="19.5" thickBot="1" x14ac:dyDescent="0.45">
      <c r="D1002" s="48"/>
    </row>
    <row r="1003" spans="1:7" ht="19.5" thickBot="1" x14ac:dyDescent="0.45">
      <c r="A1003" s="8">
        <v>17</v>
      </c>
      <c r="B1003" s="39" t="s">
        <v>231</v>
      </c>
      <c r="C1003" s="37"/>
      <c r="D1003" s="82" t="s">
        <v>232</v>
      </c>
      <c r="E1003" s="28">
        <v>17990</v>
      </c>
      <c r="F1003" s="119">
        <f>SUM(G1003)</f>
        <v>0</v>
      </c>
      <c r="G1003" s="111">
        <v>0</v>
      </c>
    </row>
    <row r="1004" spans="1:7" ht="19.5" thickBot="1" x14ac:dyDescent="0.45">
      <c r="D1004" s="48"/>
    </row>
    <row r="1005" spans="1:7" x14ac:dyDescent="0.4">
      <c r="A1005" s="8">
        <v>18</v>
      </c>
      <c r="B1005" s="35" t="s">
        <v>233</v>
      </c>
      <c r="C1005" s="34"/>
      <c r="D1005" s="46" t="s">
        <v>234</v>
      </c>
      <c r="E1005" s="13">
        <v>17990</v>
      </c>
      <c r="F1005" s="108">
        <f>SUM(G1005)</f>
        <v>0</v>
      </c>
      <c r="G1005" s="104">
        <v>0</v>
      </c>
    </row>
    <row r="1006" spans="1:7" ht="19.5" thickBot="1" x14ac:dyDescent="0.45">
      <c r="B1006" s="15" t="str">
        <f>"TOTAL PCS = " &amp; SUM(F1005:F1006)</f>
        <v>TOTAL PCS = 0</v>
      </c>
      <c r="C1006" s="16"/>
      <c r="D1006" s="47" t="s">
        <v>235</v>
      </c>
      <c r="E1006" s="17">
        <v>16890</v>
      </c>
      <c r="F1006" s="110">
        <f>SUM(G1006)</f>
        <v>0</v>
      </c>
      <c r="G1006" s="106">
        <v>0</v>
      </c>
    </row>
    <row r="1007" spans="1:7" ht="19.5" thickBot="1" x14ac:dyDescent="0.45">
      <c r="D1007" s="48"/>
    </row>
    <row r="1008" spans="1:7" ht="19.5" thickBot="1" x14ac:dyDescent="0.45">
      <c r="A1008" s="8">
        <v>19</v>
      </c>
      <c r="B1008" s="39" t="s">
        <v>236</v>
      </c>
      <c r="C1008" s="37"/>
      <c r="D1008" s="82" t="s">
        <v>234</v>
      </c>
      <c r="E1008" s="28">
        <v>16890</v>
      </c>
      <c r="F1008" s="119">
        <f>SUM(G1008)</f>
        <v>0</v>
      </c>
      <c r="G1008" s="111">
        <v>0</v>
      </c>
    </row>
    <row r="1009" spans="1:8" ht="19.5" thickBot="1" x14ac:dyDescent="0.45">
      <c r="D1009" s="48"/>
    </row>
    <row r="1010" spans="1:8" ht="19.5" thickBot="1" x14ac:dyDescent="0.45">
      <c r="A1010" s="8">
        <v>20</v>
      </c>
      <c r="B1010" s="39" t="s">
        <v>237</v>
      </c>
      <c r="C1010" s="37"/>
      <c r="D1010" s="82" t="s">
        <v>234</v>
      </c>
      <c r="E1010" s="28">
        <v>15790</v>
      </c>
      <c r="F1010" s="119">
        <f>SUM(G1010)</f>
        <v>0</v>
      </c>
      <c r="G1010" s="111">
        <v>0</v>
      </c>
    </row>
    <row r="1011" spans="1:8" ht="19.5" thickBot="1" x14ac:dyDescent="0.45">
      <c r="D1011" s="48"/>
    </row>
    <row r="1012" spans="1:8" x14ac:dyDescent="0.4">
      <c r="A1012" s="8">
        <v>21</v>
      </c>
      <c r="B1012" s="35" t="s">
        <v>238</v>
      </c>
      <c r="C1012" s="34"/>
      <c r="D1012" s="46" t="s">
        <v>239</v>
      </c>
      <c r="E1012" s="13">
        <v>12900</v>
      </c>
      <c r="F1012" s="108">
        <f>SUM(G1012)</f>
        <v>0</v>
      </c>
      <c r="G1012" s="104">
        <v>0</v>
      </c>
    </row>
    <row r="1013" spans="1:8" x14ac:dyDescent="0.4">
      <c r="B1013" s="14"/>
      <c r="D1013" s="75" t="s">
        <v>234</v>
      </c>
      <c r="E1013" s="6">
        <v>13590</v>
      </c>
      <c r="F1013" s="109">
        <f>SUM(G1013)</f>
        <v>1</v>
      </c>
      <c r="G1013" s="105">
        <v>1</v>
      </c>
    </row>
    <row r="1014" spans="1:8" x14ac:dyDescent="0.4">
      <c r="B1014" s="14" t="str">
        <f>"TOTAL PCS = " &amp; SUM(F1012:F1019)</f>
        <v>TOTAL PCS = 10</v>
      </c>
      <c r="D1014" s="76" t="s">
        <v>240</v>
      </c>
      <c r="E1014" s="7">
        <v>14590</v>
      </c>
      <c r="F1014" s="109">
        <f t="shared" ref="F1014:F1018" si="50">SUM(G1014)</f>
        <v>0</v>
      </c>
      <c r="G1014" s="107">
        <v>0</v>
      </c>
    </row>
    <row r="1015" spans="1:8" x14ac:dyDescent="0.4">
      <c r="B1015" s="14"/>
      <c r="D1015" s="75" t="s">
        <v>6</v>
      </c>
      <c r="E1015" s="6">
        <v>14590</v>
      </c>
      <c r="F1015" s="109">
        <f t="shared" si="50"/>
        <v>1</v>
      </c>
      <c r="G1015" s="105">
        <v>1</v>
      </c>
    </row>
    <row r="1016" spans="1:8" x14ac:dyDescent="0.4">
      <c r="B1016" s="14"/>
      <c r="D1016" s="75" t="s">
        <v>447</v>
      </c>
      <c r="E1016" s="6">
        <v>14590</v>
      </c>
      <c r="F1016" s="109">
        <f t="shared" si="50"/>
        <v>1</v>
      </c>
      <c r="G1016" s="105">
        <v>1</v>
      </c>
    </row>
    <row r="1017" spans="1:8" x14ac:dyDescent="0.4">
      <c r="B1017" s="14"/>
      <c r="D1017" s="75" t="s">
        <v>546</v>
      </c>
      <c r="E1017" s="6">
        <v>13590</v>
      </c>
      <c r="F1017" s="109">
        <f t="shared" si="50"/>
        <v>2</v>
      </c>
      <c r="G1017" s="105">
        <v>2</v>
      </c>
      <c r="H1017" t="s">
        <v>534</v>
      </c>
    </row>
    <row r="1018" spans="1:8" x14ac:dyDescent="0.4">
      <c r="B1018" s="14"/>
      <c r="D1018" s="75" t="s">
        <v>344</v>
      </c>
      <c r="E1018" s="6">
        <v>13590</v>
      </c>
      <c r="F1018" s="109">
        <f t="shared" si="50"/>
        <v>3</v>
      </c>
      <c r="G1018" s="105">
        <v>3</v>
      </c>
      <c r="H1018" t="s">
        <v>531</v>
      </c>
    </row>
    <row r="1019" spans="1:8" ht="19.5" thickBot="1" x14ac:dyDescent="0.45">
      <c r="B1019" s="15"/>
      <c r="C1019" s="16"/>
      <c r="D1019" s="47" t="s">
        <v>7</v>
      </c>
      <c r="E1019" s="17">
        <v>14590</v>
      </c>
      <c r="F1019" s="110">
        <f>SUM(G1019)</f>
        <v>2</v>
      </c>
      <c r="G1019" s="106">
        <v>2</v>
      </c>
      <c r="H1019" t="s">
        <v>534</v>
      </c>
    </row>
    <row r="1020" spans="1:8" ht="19.5" thickBot="1" x14ac:dyDescent="0.45">
      <c r="D1020" s="48"/>
    </row>
    <row r="1021" spans="1:8" x14ac:dyDescent="0.4">
      <c r="A1021" s="8">
        <v>22</v>
      </c>
      <c r="B1021" s="35" t="s">
        <v>241</v>
      </c>
      <c r="C1021" s="34"/>
      <c r="D1021" s="46" t="s">
        <v>234</v>
      </c>
      <c r="E1021" s="13">
        <v>16990</v>
      </c>
      <c r="F1021" s="108">
        <f>SUM(G1021)</f>
        <v>0</v>
      </c>
      <c r="G1021" s="104">
        <v>0</v>
      </c>
    </row>
    <row r="1022" spans="1:8" x14ac:dyDescent="0.4">
      <c r="B1022" s="14"/>
      <c r="D1022" s="75" t="s">
        <v>226</v>
      </c>
      <c r="E1022" s="6">
        <v>16990</v>
      </c>
      <c r="F1022" s="109">
        <f>SUM(G1022)</f>
        <v>0</v>
      </c>
      <c r="G1022" s="105">
        <v>0</v>
      </c>
    </row>
    <row r="1023" spans="1:8" ht="19.5" thickBot="1" x14ac:dyDescent="0.45">
      <c r="B1023" s="15" t="str">
        <f>"TOTAL PCS = " &amp; SUM(F1021:F1023)</f>
        <v>TOTAL PCS = 0</v>
      </c>
      <c r="C1023" s="16"/>
      <c r="D1023" s="47" t="s">
        <v>235</v>
      </c>
      <c r="E1023" s="17">
        <v>13690</v>
      </c>
      <c r="F1023" s="110">
        <f>SUM(G1023)</f>
        <v>0</v>
      </c>
      <c r="G1023" s="106">
        <v>0</v>
      </c>
    </row>
    <row r="1024" spans="1:8" ht="19.5" thickBot="1" x14ac:dyDescent="0.45">
      <c r="D1024" s="48"/>
    </row>
    <row r="1025" spans="1:8" x14ac:dyDescent="0.4">
      <c r="A1025" s="8">
        <v>23</v>
      </c>
      <c r="B1025" s="33" t="s">
        <v>242</v>
      </c>
      <c r="C1025" s="34"/>
      <c r="D1025" s="46" t="s">
        <v>234</v>
      </c>
      <c r="E1025" s="13">
        <v>18300</v>
      </c>
      <c r="F1025" s="108">
        <f>SUM(G1025)</f>
        <v>0</v>
      </c>
      <c r="G1025" s="104">
        <v>0</v>
      </c>
    </row>
    <row r="1026" spans="1:8" ht="19.5" thickBot="1" x14ac:dyDescent="0.45">
      <c r="B1026" s="15" t="str">
        <f>"TOTAL PCS = " &amp; SUM(F1025:F1026)</f>
        <v>TOTAL PCS = 0</v>
      </c>
      <c r="C1026" s="16"/>
      <c r="D1026" s="47" t="s">
        <v>243</v>
      </c>
      <c r="E1026" s="17">
        <v>20450</v>
      </c>
      <c r="F1026" s="110">
        <f>SUM(G1026)</f>
        <v>0</v>
      </c>
      <c r="G1026" s="106">
        <v>0</v>
      </c>
    </row>
    <row r="1027" spans="1:8" ht="19.5" thickBot="1" x14ac:dyDescent="0.45">
      <c r="D1027" s="48"/>
    </row>
    <row r="1028" spans="1:8" ht="19.5" thickBot="1" x14ac:dyDescent="0.45">
      <c r="A1028" s="8">
        <v>24</v>
      </c>
      <c r="B1028" s="36" t="s">
        <v>244</v>
      </c>
      <c r="C1028" s="37"/>
      <c r="D1028" s="82" t="s">
        <v>234</v>
      </c>
      <c r="E1028" s="28">
        <v>15790</v>
      </c>
      <c r="F1028" s="119">
        <f>SUM(G1028)</f>
        <v>1</v>
      </c>
      <c r="G1028" s="111">
        <v>1</v>
      </c>
    </row>
    <row r="1029" spans="1:8" ht="19.5" thickBot="1" x14ac:dyDescent="0.45">
      <c r="D1029" s="48"/>
    </row>
    <row r="1030" spans="1:8" ht="19.5" thickBot="1" x14ac:dyDescent="0.45">
      <c r="A1030" s="8">
        <v>25</v>
      </c>
      <c r="B1030" s="39" t="s">
        <v>245</v>
      </c>
      <c r="C1030" s="37"/>
      <c r="D1030" s="82" t="s">
        <v>246</v>
      </c>
      <c r="E1030" s="28">
        <v>19290</v>
      </c>
      <c r="F1030" s="119">
        <f>SUM(G1030)</f>
        <v>1</v>
      </c>
      <c r="G1030" s="111">
        <v>1</v>
      </c>
    </row>
    <row r="1031" spans="1:8" ht="19.5" thickBot="1" x14ac:dyDescent="0.45">
      <c r="D1031" s="48"/>
    </row>
    <row r="1032" spans="1:8" ht="19.5" thickBot="1" x14ac:dyDescent="0.45">
      <c r="A1032" s="8">
        <v>26</v>
      </c>
      <c r="B1032" s="39" t="s">
        <v>247</v>
      </c>
      <c r="C1032" s="37"/>
      <c r="D1032" s="82" t="s">
        <v>235</v>
      </c>
      <c r="E1032" s="28">
        <v>17990</v>
      </c>
      <c r="F1032" s="119">
        <f>SUM(G1032)</f>
        <v>1</v>
      </c>
      <c r="G1032" s="111">
        <v>1</v>
      </c>
    </row>
    <row r="1033" spans="1:8" ht="19.5" thickBot="1" x14ac:dyDescent="0.45">
      <c r="D1033" s="48"/>
    </row>
    <row r="1034" spans="1:8" x14ac:dyDescent="0.4">
      <c r="A1034" s="8">
        <v>27</v>
      </c>
      <c r="B1034" s="33" t="s">
        <v>400</v>
      </c>
      <c r="C1034" s="34"/>
      <c r="D1034" s="46" t="s">
        <v>219</v>
      </c>
      <c r="E1034" s="13">
        <v>9290</v>
      </c>
      <c r="F1034" s="108">
        <f>SUM(G1034)</f>
        <v>0</v>
      </c>
      <c r="G1034" s="104">
        <v>0</v>
      </c>
    </row>
    <row r="1035" spans="1:8" ht="19.5" thickBot="1" x14ac:dyDescent="0.45">
      <c r="B1035" s="15" t="str">
        <f>"TOTAL PCS = " &amp; SUM(F1034:F1035)</f>
        <v>TOTAL PCS = 0</v>
      </c>
      <c r="C1035" s="16"/>
      <c r="D1035" s="47" t="s">
        <v>223</v>
      </c>
      <c r="E1035" s="17">
        <v>9290</v>
      </c>
      <c r="F1035" s="110">
        <f>SUM(G1035)</f>
        <v>0</v>
      </c>
      <c r="G1035" s="106">
        <v>0</v>
      </c>
    </row>
    <row r="1036" spans="1:8" ht="19.5" thickBot="1" x14ac:dyDescent="0.45">
      <c r="D1036" s="48"/>
    </row>
    <row r="1037" spans="1:8" x14ac:dyDescent="0.4">
      <c r="A1037" s="8">
        <v>28</v>
      </c>
      <c r="B1037" s="33" t="s">
        <v>401</v>
      </c>
      <c r="C1037" s="34"/>
      <c r="D1037" s="46" t="s">
        <v>248</v>
      </c>
      <c r="E1037" s="13">
        <v>20590</v>
      </c>
      <c r="F1037" s="108">
        <f>SUM(G1037)</f>
        <v>1</v>
      </c>
      <c r="G1037" s="104">
        <v>1</v>
      </c>
      <c r="H1037" t="s">
        <v>533</v>
      </c>
    </row>
    <row r="1038" spans="1:8" x14ac:dyDescent="0.4">
      <c r="B1038" s="14"/>
      <c r="D1038" s="75" t="s">
        <v>249</v>
      </c>
      <c r="E1038" s="6">
        <v>17790</v>
      </c>
      <c r="F1038" s="109">
        <f>SUM(G1038)</f>
        <v>17</v>
      </c>
      <c r="G1038" s="105">
        <v>17</v>
      </c>
    </row>
    <row r="1039" spans="1:8" x14ac:dyDescent="0.4">
      <c r="B1039" s="14" t="str">
        <f>"TOTAL PCS = " &amp; SUM(F1037:F1040)</f>
        <v>TOTAL PCS = 24</v>
      </c>
      <c r="D1039" s="75" t="s">
        <v>250</v>
      </c>
      <c r="E1039" s="6">
        <v>15990</v>
      </c>
      <c r="F1039" s="109">
        <f>SUM(G1039)</f>
        <v>0</v>
      </c>
      <c r="G1039" s="105">
        <v>0</v>
      </c>
    </row>
    <row r="1040" spans="1:8" ht="19.5" thickBot="1" x14ac:dyDescent="0.45">
      <c r="B1040" s="15"/>
      <c r="C1040" s="16"/>
      <c r="D1040" s="47" t="s">
        <v>251</v>
      </c>
      <c r="E1040" s="17">
        <v>13690</v>
      </c>
      <c r="F1040" s="110">
        <f>SUM(G1040)</f>
        <v>6</v>
      </c>
      <c r="G1040" s="106">
        <v>6</v>
      </c>
    </row>
    <row r="1041" spans="1:7" ht="19.5" thickBot="1" x14ac:dyDescent="0.45">
      <c r="D1041" s="48"/>
    </row>
    <row r="1042" spans="1:7" x14ac:dyDescent="0.4">
      <c r="A1042" s="8">
        <v>29</v>
      </c>
      <c r="B1042" s="35" t="s">
        <v>252</v>
      </c>
      <c r="C1042" s="34"/>
      <c r="D1042" s="46" t="s">
        <v>253</v>
      </c>
      <c r="E1042" s="13">
        <v>9090</v>
      </c>
      <c r="F1042" s="108">
        <f>SUM(G1042)</f>
        <v>0</v>
      </c>
      <c r="G1042" s="104">
        <v>0</v>
      </c>
    </row>
    <row r="1043" spans="1:7" x14ac:dyDescent="0.4">
      <c r="B1043" s="14"/>
      <c r="D1043" s="75" t="s">
        <v>254</v>
      </c>
      <c r="E1043" s="6">
        <v>8790</v>
      </c>
      <c r="F1043" s="109">
        <f>SUM(G1043)</f>
        <v>1</v>
      </c>
      <c r="G1043" s="105">
        <v>1</v>
      </c>
    </row>
    <row r="1044" spans="1:7" ht="19.5" thickBot="1" x14ac:dyDescent="0.45">
      <c r="B1044" s="15" t="str">
        <f>"TOTAL PCS = " &amp; SUM(F1042:F1044)</f>
        <v>TOTAL PCS = 6</v>
      </c>
      <c r="C1044" s="16"/>
      <c r="D1044" s="47" t="s">
        <v>223</v>
      </c>
      <c r="E1044" s="17">
        <v>8990</v>
      </c>
      <c r="F1044" s="110">
        <f>SUM(G1044)</f>
        <v>5</v>
      </c>
      <c r="G1044" s="106">
        <v>5</v>
      </c>
    </row>
    <row r="1045" spans="1:7" ht="19.5" thickBot="1" x14ac:dyDescent="0.45">
      <c r="D1045" s="48"/>
    </row>
    <row r="1046" spans="1:7" x14ac:dyDescent="0.4">
      <c r="A1046" s="8">
        <v>30</v>
      </c>
      <c r="B1046" s="33" t="s">
        <v>255</v>
      </c>
      <c r="C1046" s="34"/>
      <c r="D1046" s="46" t="s">
        <v>66</v>
      </c>
      <c r="E1046" s="13">
        <v>15290</v>
      </c>
      <c r="F1046" s="108">
        <f>SUM(G1046)</f>
        <v>0</v>
      </c>
      <c r="G1046" s="104">
        <v>0</v>
      </c>
    </row>
    <row r="1047" spans="1:7" ht="19.5" thickBot="1" x14ac:dyDescent="0.45">
      <c r="B1047" s="15" t="str">
        <f>"TOTAL PCS = " &amp; SUM(F1046:F1047)</f>
        <v>TOTAL PCS = 9</v>
      </c>
      <c r="C1047" s="16"/>
      <c r="D1047" s="47" t="s">
        <v>226</v>
      </c>
      <c r="E1047" s="17">
        <v>13590</v>
      </c>
      <c r="F1047" s="110">
        <f>SUM(G1047)</f>
        <v>9</v>
      </c>
      <c r="G1047" s="106">
        <v>9</v>
      </c>
    </row>
    <row r="1048" spans="1:7" ht="19.5" thickBot="1" x14ac:dyDescent="0.45">
      <c r="D1048" s="48"/>
    </row>
    <row r="1049" spans="1:7" ht="19.5" thickBot="1" x14ac:dyDescent="0.45">
      <c r="A1049" s="8">
        <v>31</v>
      </c>
      <c r="B1049" s="36" t="s">
        <v>256</v>
      </c>
      <c r="C1049" s="37"/>
      <c r="D1049" s="82" t="s">
        <v>234</v>
      </c>
      <c r="E1049" s="28">
        <v>14790</v>
      </c>
      <c r="F1049" s="119">
        <f>SUM(G1049)</f>
        <v>3</v>
      </c>
      <c r="G1049" s="111">
        <v>3</v>
      </c>
    </row>
    <row r="1050" spans="1:7" ht="19.5" thickBot="1" x14ac:dyDescent="0.45">
      <c r="D1050" s="48"/>
    </row>
    <row r="1051" spans="1:7" ht="19.5" thickBot="1" x14ac:dyDescent="0.45">
      <c r="A1051" s="8">
        <v>32</v>
      </c>
      <c r="B1051" s="36" t="s">
        <v>257</v>
      </c>
      <c r="C1051" s="37"/>
      <c r="D1051" s="82" t="s">
        <v>234</v>
      </c>
      <c r="E1051" s="28">
        <v>20900</v>
      </c>
      <c r="F1051" s="119">
        <f>SUM(G1051)</f>
        <v>8</v>
      </c>
      <c r="G1051" s="111">
        <v>8</v>
      </c>
    </row>
    <row r="1052" spans="1:7" ht="19.5" thickBot="1" x14ac:dyDescent="0.45">
      <c r="D1052" s="48"/>
    </row>
    <row r="1053" spans="1:7" ht="19.5" thickBot="1" x14ac:dyDescent="0.45">
      <c r="A1053" s="8">
        <v>33</v>
      </c>
      <c r="B1053" s="36" t="s">
        <v>577</v>
      </c>
      <c r="C1053" s="37"/>
      <c r="D1053" s="82" t="s">
        <v>235</v>
      </c>
      <c r="E1053" s="28">
        <v>15990</v>
      </c>
      <c r="F1053" s="119">
        <f>SUM(G1053)</f>
        <v>3</v>
      </c>
      <c r="G1053" s="111">
        <v>3</v>
      </c>
    </row>
    <row r="1054" spans="1:7" ht="19.5" thickBot="1" x14ac:dyDescent="0.45">
      <c r="D1054" s="48"/>
    </row>
    <row r="1055" spans="1:7" ht="32.25" x14ac:dyDescent="0.4">
      <c r="A1055" s="8">
        <v>34</v>
      </c>
      <c r="B1055" s="35" t="s">
        <v>259</v>
      </c>
      <c r="C1055" s="34"/>
      <c r="D1055" s="46" t="s">
        <v>260</v>
      </c>
      <c r="E1055" s="13">
        <v>12790</v>
      </c>
      <c r="F1055" s="108">
        <f>SUM(G1055)</f>
        <v>0</v>
      </c>
      <c r="G1055" s="104">
        <v>0</v>
      </c>
    </row>
    <row r="1056" spans="1:7" ht="19.5" thickBot="1" x14ac:dyDescent="0.45">
      <c r="B1056" s="15" t="str">
        <f>"TOTAL PCS = " &amp; SUM(F1055:F1056)</f>
        <v>TOTAL PCS = 0</v>
      </c>
      <c r="C1056" s="16"/>
      <c r="D1056" s="47" t="s">
        <v>224</v>
      </c>
      <c r="E1056" s="17">
        <v>12790</v>
      </c>
      <c r="F1056" s="110">
        <f>SUM(G1056)</f>
        <v>0</v>
      </c>
      <c r="G1056" s="106">
        <v>0</v>
      </c>
    </row>
    <row r="1057" spans="1:7" ht="19.5" thickBot="1" x14ac:dyDescent="0.45">
      <c r="D1057" s="48"/>
    </row>
    <row r="1058" spans="1:7" ht="19.5" thickBot="1" x14ac:dyDescent="0.45">
      <c r="A1058" s="8">
        <v>35</v>
      </c>
      <c r="B1058" s="39" t="s">
        <v>261</v>
      </c>
      <c r="C1058" s="37"/>
      <c r="D1058" s="82" t="s">
        <v>235</v>
      </c>
      <c r="E1058" s="28">
        <v>16890</v>
      </c>
      <c r="F1058" s="119">
        <f>SUM(G1058)</f>
        <v>0</v>
      </c>
      <c r="G1058" s="111">
        <v>0</v>
      </c>
    </row>
    <row r="1059" spans="1:7" ht="19.5" thickBot="1" x14ac:dyDescent="0.45">
      <c r="D1059" s="48"/>
    </row>
    <row r="1060" spans="1:7" x14ac:dyDescent="0.4">
      <c r="A1060" s="8">
        <v>36</v>
      </c>
      <c r="B1060" s="35" t="s">
        <v>402</v>
      </c>
      <c r="C1060" s="34"/>
      <c r="D1060" s="46" t="s">
        <v>258</v>
      </c>
      <c r="E1060" s="13">
        <v>6790</v>
      </c>
      <c r="F1060" s="108">
        <f>SUM(G1060)</f>
        <v>4</v>
      </c>
      <c r="G1060" s="104">
        <v>4</v>
      </c>
    </row>
    <row r="1061" spans="1:7" x14ac:dyDescent="0.4">
      <c r="B1061" s="14" t="str">
        <f>"TOTAL PCS = " &amp; SUM(F1060:F1062)</f>
        <v>TOTAL PCS = 8</v>
      </c>
      <c r="D1061" s="76" t="s">
        <v>235</v>
      </c>
      <c r="E1061" s="7">
        <v>4590</v>
      </c>
      <c r="F1061" s="118">
        <f>SUM(G1061)</f>
        <v>3</v>
      </c>
      <c r="G1061" s="107">
        <v>3</v>
      </c>
    </row>
    <row r="1062" spans="1:7" ht="19.5" thickBot="1" x14ac:dyDescent="0.45">
      <c r="B1062" s="15"/>
      <c r="C1062" s="16"/>
      <c r="D1062" s="47" t="s">
        <v>578</v>
      </c>
      <c r="E1062" s="17">
        <v>6790</v>
      </c>
      <c r="F1062" s="110">
        <f>SUM(G1062)</f>
        <v>1</v>
      </c>
      <c r="G1062" s="106">
        <v>1</v>
      </c>
    </row>
    <row r="1063" spans="1:7" ht="19.5" thickBot="1" x14ac:dyDescent="0.45">
      <c r="D1063" s="48"/>
    </row>
    <row r="1064" spans="1:7" x14ac:dyDescent="0.4">
      <c r="A1064" s="8">
        <v>37</v>
      </c>
      <c r="B1064" s="35" t="s">
        <v>403</v>
      </c>
      <c r="C1064" s="34"/>
      <c r="D1064" s="46" t="s">
        <v>258</v>
      </c>
      <c r="E1064" s="13">
        <v>6790</v>
      </c>
      <c r="F1064" s="108">
        <f>SUM(G1064)</f>
        <v>0</v>
      </c>
      <c r="G1064" s="104">
        <v>0</v>
      </c>
    </row>
    <row r="1065" spans="1:7" x14ac:dyDescent="0.4">
      <c r="B1065" s="14" t="str">
        <f>"TOTAL PCS = " &amp; SUM(F1064:F1066)</f>
        <v>TOTAL PCS = 13</v>
      </c>
      <c r="D1065" s="76" t="s">
        <v>235</v>
      </c>
      <c r="E1065" s="7">
        <v>4590</v>
      </c>
      <c r="F1065" s="118">
        <f>SUM(G1065)</f>
        <v>12</v>
      </c>
      <c r="G1065" s="107">
        <v>12</v>
      </c>
    </row>
    <row r="1066" spans="1:7" ht="19.5" thickBot="1" x14ac:dyDescent="0.45">
      <c r="B1066" s="15"/>
      <c r="C1066" s="16"/>
      <c r="D1066" s="47" t="s">
        <v>578</v>
      </c>
      <c r="E1066" s="17">
        <v>6790</v>
      </c>
      <c r="F1066" s="110">
        <f>SUM(G1066)</f>
        <v>1</v>
      </c>
      <c r="G1066" s="106">
        <v>1</v>
      </c>
    </row>
    <row r="1067" spans="1:7" ht="19.5" thickBot="1" x14ac:dyDescent="0.45">
      <c r="D1067" s="48"/>
    </row>
    <row r="1068" spans="1:7" x14ac:dyDescent="0.4">
      <c r="A1068" s="8">
        <v>38</v>
      </c>
      <c r="B1068" s="35" t="s">
        <v>404</v>
      </c>
      <c r="C1068" s="34"/>
      <c r="D1068" s="46" t="s">
        <v>234</v>
      </c>
      <c r="E1068" s="13">
        <v>7890</v>
      </c>
      <c r="F1068" s="108">
        <f>SUM(G1068)</f>
        <v>0</v>
      </c>
      <c r="G1068" s="104">
        <v>0</v>
      </c>
    </row>
    <row r="1069" spans="1:7" ht="19.5" thickBot="1" x14ac:dyDescent="0.45">
      <c r="B1069" s="15" t="str">
        <f>"TOTAL PCS = " &amp; SUM(F1068:F1069)</f>
        <v>TOTAL PCS = 3</v>
      </c>
      <c r="C1069" s="16"/>
      <c r="D1069" s="47" t="s">
        <v>235</v>
      </c>
      <c r="E1069" s="17">
        <v>6790</v>
      </c>
      <c r="F1069" s="110">
        <f>SUM(G1069)</f>
        <v>3</v>
      </c>
      <c r="G1069" s="106">
        <v>3</v>
      </c>
    </row>
    <row r="1070" spans="1:7" ht="19.5" thickBot="1" x14ac:dyDescent="0.45">
      <c r="D1070" s="48"/>
    </row>
    <row r="1071" spans="1:7" x14ac:dyDescent="0.4">
      <c r="A1071" s="8">
        <v>39</v>
      </c>
      <c r="B1071" s="35" t="s">
        <v>262</v>
      </c>
      <c r="C1071" s="34"/>
      <c r="D1071" s="46" t="s">
        <v>66</v>
      </c>
      <c r="E1071" s="13">
        <v>9490</v>
      </c>
      <c r="F1071" s="108">
        <f>SUM(G1071)</f>
        <v>0</v>
      </c>
      <c r="G1071" s="104">
        <v>0</v>
      </c>
    </row>
    <row r="1072" spans="1:7" x14ac:dyDescent="0.4">
      <c r="B1072" s="14"/>
      <c r="D1072" s="75" t="s">
        <v>224</v>
      </c>
      <c r="E1072" s="6">
        <v>9790</v>
      </c>
      <c r="F1072" s="109">
        <f>SUM(G1072)</f>
        <v>1</v>
      </c>
      <c r="G1072" s="105">
        <v>1</v>
      </c>
    </row>
    <row r="1073" spans="1:8" ht="19.5" thickBot="1" x14ac:dyDescent="0.45">
      <c r="B1073" s="15" t="str">
        <f>"TOTAL PCS = " &amp; SUM(F1071:F1073)</f>
        <v>TOTAL PCS = 13</v>
      </c>
      <c r="C1073" s="16"/>
      <c r="D1073" s="47" t="s">
        <v>226</v>
      </c>
      <c r="E1073" s="17">
        <v>8190</v>
      </c>
      <c r="F1073" s="110">
        <f>SUM(G1073)</f>
        <v>12</v>
      </c>
      <c r="G1073" s="106">
        <v>12</v>
      </c>
      <c r="H1073" t="s">
        <v>533</v>
      </c>
    </row>
    <row r="1074" spans="1:8" ht="19.5" thickBot="1" x14ac:dyDescent="0.45">
      <c r="D1074" s="48"/>
    </row>
    <row r="1075" spans="1:8" x14ac:dyDescent="0.4">
      <c r="A1075" s="8">
        <v>40</v>
      </c>
      <c r="B1075" s="35" t="s">
        <v>263</v>
      </c>
      <c r="C1075" s="34"/>
      <c r="D1075" s="46" t="s">
        <v>264</v>
      </c>
      <c r="E1075" s="13">
        <v>9100</v>
      </c>
      <c r="F1075" s="108">
        <f>SUM(G1075)</f>
        <v>0</v>
      </c>
      <c r="G1075" s="104">
        <v>0</v>
      </c>
    </row>
    <row r="1076" spans="1:8" x14ac:dyDescent="0.4">
      <c r="B1076" s="14"/>
      <c r="D1076" s="76" t="s">
        <v>265</v>
      </c>
      <c r="E1076" s="7">
        <v>9100</v>
      </c>
      <c r="F1076" s="118">
        <f>SUM(G1076)</f>
        <v>2</v>
      </c>
      <c r="G1076" s="107">
        <v>2</v>
      </c>
    </row>
    <row r="1077" spans="1:8" ht="19.5" thickBot="1" x14ac:dyDescent="0.45">
      <c r="B1077" s="15" t="str">
        <f>"TOTAL PCS = " &amp; SUM(F1075:F1077)</f>
        <v>TOTAL PCS = 16</v>
      </c>
      <c r="C1077" s="16"/>
      <c r="D1077" s="47" t="s">
        <v>232</v>
      </c>
      <c r="E1077" s="17">
        <v>9100</v>
      </c>
      <c r="F1077" s="110">
        <f>SUM(G1077)</f>
        <v>14</v>
      </c>
      <c r="G1077" s="106">
        <v>14</v>
      </c>
    </row>
    <row r="1078" spans="1:8" ht="19.5" thickBot="1" x14ac:dyDescent="0.45">
      <c r="D1078" s="48"/>
    </row>
    <row r="1079" spans="1:8" x14ac:dyDescent="0.4">
      <c r="A1079" s="8">
        <v>41</v>
      </c>
      <c r="B1079" s="35" t="s">
        <v>266</v>
      </c>
      <c r="C1079" s="34"/>
      <c r="D1079" s="46" t="s">
        <v>249</v>
      </c>
      <c r="E1079" s="13">
        <v>12290</v>
      </c>
      <c r="F1079" s="108">
        <f>SUM(G1079)</f>
        <v>0</v>
      </c>
      <c r="G1079" s="104">
        <v>0</v>
      </c>
    </row>
    <row r="1080" spans="1:8" ht="19.5" thickBot="1" x14ac:dyDescent="0.45">
      <c r="B1080" s="15" t="str">
        <f>"TOTAL PCS = " &amp; SUM(F1079:F1080)</f>
        <v>TOTAL PCS = 0</v>
      </c>
      <c r="C1080" s="16"/>
      <c r="D1080" s="47" t="s">
        <v>235</v>
      </c>
      <c r="E1080" s="17">
        <v>11290</v>
      </c>
      <c r="F1080" s="110">
        <f>SUM(G1080)</f>
        <v>0</v>
      </c>
      <c r="G1080" s="106">
        <v>0</v>
      </c>
    </row>
    <row r="1081" spans="1:8" ht="19.5" thickBot="1" x14ac:dyDescent="0.45">
      <c r="D1081" s="48"/>
    </row>
    <row r="1082" spans="1:8" x14ac:dyDescent="0.4">
      <c r="A1082" s="8">
        <v>42</v>
      </c>
      <c r="B1082" s="35" t="s">
        <v>267</v>
      </c>
      <c r="C1082" s="34"/>
      <c r="D1082" s="46" t="s">
        <v>249</v>
      </c>
      <c r="E1082" s="13">
        <v>7490</v>
      </c>
      <c r="F1082" s="108">
        <f>SUM(G1082)</f>
        <v>0</v>
      </c>
      <c r="G1082" s="104">
        <v>0</v>
      </c>
    </row>
    <row r="1083" spans="1:8" ht="19.5" thickBot="1" x14ac:dyDescent="0.45">
      <c r="B1083" s="15" t="str">
        <f>"TOTAL PCS = " &amp; SUM(F1082:F1083)</f>
        <v>TOTAL PCS = 0</v>
      </c>
      <c r="C1083" s="16"/>
      <c r="D1083" s="47" t="s">
        <v>235</v>
      </c>
      <c r="E1083" s="17">
        <v>6590</v>
      </c>
      <c r="F1083" s="110">
        <f>SUM(G1083)</f>
        <v>0</v>
      </c>
      <c r="G1083" s="106">
        <v>0</v>
      </c>
    </row>
    <row r="1084" spans="1:8" ht="19.5" thickBot="1" x14ac:dyDescent="0.45">
      <c r="D1084" s="48"/>
    </row>
    <row r="1085" spans="1:8" ht="19.5" thickBot="1" x14ac:dyDescent="0.45">
      <c r="A1085" s="8">
        <v>43</v>
      </c>
      <c r="B1085" s="39" t="s">
        <v>268</v>
      </c>
      <c r="C1085" s="37"/>
      <c r="D1085" s="82" t="s">
        <v>249</v>
      </c>
      <c r="E1085" s="28">
        <v>5490</v>
      </c>
      <c r="F1085" s="119">
        <f>SUM(G1085)</f>
        <v>0</v>
      </c>
      <c r="G1085" s="111">
        <v>0</v>
      </c>
    </row>
    <row r="1086" spans="1:8" ht="19.5" thickBot="1" x14ac:dyDescent="0.45">
      <c r="D1086" s="48"/>
    </row>
    <row r="1087" spans="1:8" ht="19.5" thickBot="1" x14ac:dyDescent="0.45">
      <c r="A1087" s="8">
        <v>44</v>
      </c>
      <c r="B1087" s="39" t="s">
        <v>269</v>
      </c>
      <c r="C1087" s="37"/>
      <c r="D1087" s="82" t="s">
        <v>235</v>
      </c>
      <c r="E1087" s="28">
        <v>3990</v>
      </c>
      <c r="F1087" s="119">
        <f>SUM(G1087)</f>
        <v>3</v>
      </c>
      <c r="G1087" s="111">
        <v>3</v>
      </c>
    </row>
    <row r="1088" spans="1:8" ht="19.5" thickBot="1" x14ac:dyDescent="0.45">
      <c r="D1088" s="48"/>
    </row>
    <row r="1089" spans="1:7" ht="19.5" thickBot="1" x14ac:dyDescent="0.45">
      <c r="A1089" s="8">
        <v>45</v>
      </c>
      <c r="B1089" s="39" t="s">
        <v>270</v>
      </c>
      <c r="C1089" s="37"/>
      <c r="D1089" s="82" t="s">
        <v>235</v>
      </c>
      <c r="E1089" s="28">
        <v>3990</v>
      </c>
      <c r="F1089" s="119">
        <f>SUM(G1089)</f>
        <v>1</v>
      </c>
      <c r="G1089" s="111">
        <v>1</v>
      </c>
    </row>
    <row r="1090" spans="1:7" ht="19.5" thickBot="1" x14ac:dyDescent="0.45">
      <c r="D1090" s="48"/>
    </row>
    <row r="1091" spans="1:7" ht="19.5" thickBot="1" x14ac:dyDescent="0.45">
      <c r="A1091" s="8">
        <v>46</v>
      </c>
      <c r="B1091" s="39" t="s">
        <v>271</v>
      </c>
      <c r="C1091" s="37"/>
      <c r="D1091" s="82" t="s">
        <v>235</v>
      </c>
      <c r="E1091" s="28">
        <v>4790</v>
      </c>
      <c r="F1091" s="119">
        <f>SUM(G1091)</f>
        <v>3</v>
      </c>
      <c r="G1091" s="111">
        <v>3</v>
      </c>
    </row>
    <row r="1092" spans="1:7" ht="19.5" thickBot="1" x14ac:dyDescent="0.45">
      <c r="D1092" s="48"/>
    </row>
    <row r="1093" spans="1:7" ht="33" thickBot="1" x14ac:dyDescent="0.45">
      <c r="A1093" s="8">
        <v>47</v>
      </c>
      <c r="B1093" s="39" t="s">
        <v>272</v>
      </c>
      <c r="C1093" s="37"/>
      <c r="D1093" s="82" t="s">
        <v>235</v>
      </c>
      <c r="E1093" s="28">
        <v>16890</v>
      </c>
      <c r="F1093" s="119">
        <f>SUM(G1093)</f>
        <v>1</v>
      </c>
      <c r="G1093" s="111">
        <v>1</v>
      </c>
    </row>
    <row r="1094" spans="1:7" ht="19.5" thickBot="1" x14ac:dyDescent="0.45">
      <c r="D1094" s="48"/>
    </row>
    <row r="1095" spans="1:7" ht="19.5" thickBot="1" x14ac:dyDescent="0.45">
      <c r="A1095" s="8">
        <v>48</v>
      </c>
      <c r="B1095" s="36" t="s">
        <v>273</v>
      </c>
      <c r="C1095" s="37"/>
      <c r="D1095" s="82" t="s">
        <v>234</v>
      </c>
      <c r="E1095" s="28">
        <v>4790</v>
      </c>
      <c r="F1095" s="119">
        <f>SUM(G1095)</f>
        <v>0</v>
      </c>
      <c r="G1095" s="111">
        <v>0</v>
      </c>
    </row>
    <row r="1096" spans="1:7" ht="19.5" thickBot="1" x14ac:dyDescent="0.45">
      <c r="D1096" s="48"/>
    </row>
    <row r="1097" spans="1:7" x14ac:dyDescent="0.4">
      <c r="A1097" s="8">
        <v>49</v>
      </c>
      <c r="B1097" s="33" t="s">
        <v>274</v>
      </c>
      <c r="C1097" s="34"/>
      <c r="D1097" s="46" t="s">
        <v>51</v>
      </c>
      <c r="E1097" s="13">
        <v>9100</v>
      </c>
      <c r="F1097" s="108">
        <f>SUM(G1097)</f>
        <v>5</v>
      </c>
      <c r="G1097" s="104">
        <v>5</v>
      </c>
    </row>
    <row r="1098" spans="1:7" ht="19.5" thickBot="1" x14ac:dyDescent="0.45">
      <c r="B1098" s="15" t="str">
        <f>"TOTAL PCS = " &amp; SUM(F1097:F1098)</f>
        <v>TOTAL PCS = 7</v>
      </c>
      <c r="C1098" s="16"/>
      <c r="D1098" s="47" t="s">
        <v>232</v>
      </c>
      <c r="E1098" s="17">
        <v>9700</v>
      </c>
      <c r="F1098" s="110">
        <f>SUM(G1098)</f>
        <v>2</v>
      </c>
      <c r="G1098" s="106">
        <v>2</v>
      </c>
    </row>
    <row r="1099" spans="1:7" ht="19.5" thickBot="1" x14ac:dyDescent="0.45">
      <c r="D1099" s="48"/>
    </row>
    <row r="1100" spans="1:7" x14ac:dyDescent="0.4">
      <c r="A1100" s="8">
        <v>50</v>
      </c>
      <c r="B1100" s="33" t="s">
        <v>276</v>
      </c>
      <c r="C1100" s="34"/>
      <c r="D1100" s="46" t="s">
        <v>235</v>
      </c>
      <c r="E1100" s="13">
        <v>9490</v>
      </c>
      <c r="F1100" s="108">
        <f>SUM(G1100)</f>
        <v>0</v>
      </c>
      <c r="G1100" s="104">
        <v>0</v>
      </c>
    </row>
    <row r="1101" spans="1:7" x14ac:dyDescent="0.4">
      <c r="B1101" s="14"/>
      <c r="D1101" s="75" t="s">
        <v>456</v>
      </c>
      <c r="E1101" s="6">
        <v>9490</v>
      </c>
      <c r="F1101" s="109">
        <f>SUM(G1101)</f>
        <v>0</v>
      </c>
      <c r="G1101" s="105">
        <v>0</v>
      </c>
    </row>
    <row r="1102" spans="1:7" ht="19.5" thickBot="1" x14ac:dyDescent="0.45">
      <c r="B1102" s="15"/>
      <c r="C1102" s="16"/>
      <c r="D1102" s="47" t="s">
        <v>454</v>
      </c>
      <c r="E1102" s="17">
        <v>9490</v>
      </c>
      <c r="F1102" s="110">
        <f>SUM(G1102)</f>
        <v>0</v>
      </c>
      <c r="G1102" s="106">
        <v>0</v>
      </c>
    </row>
    <row r="1103" spans="1:7" ht="19.5" thickBot="1" x14ac:dyDescent="0.45">
      <c r="D1103" s="48"/>
    </row>
    <row r="1104" spans="1:7" x14ac:dyDescent="0.4">
      <c r="A1104" s="8">
        <v>51</v>
      </c>
      <c r="B1104" s="33" t="s">
        <v>448</v>
      </c>
      <c r="C1104" s="34"/>
      <c r="D1104" s="99" t="s">
        <v>235</v>
      </c>
      <c r="E1104" s="56">
        <v>13000</v>
      </c>
      <c r="F1104" s="121">
        <f>SUM(G1104)</f>
        <v>0</v>
      </c>
      <c r="G1104" s="116">
        <v>0</v>
      </c>
    </row>
    <row r="1105" spans="1:7" x14ac:dyDescent="0.4">
      <c r="B1105" s="14"/>
      <c r="D1105" s="75" t="s">
        <v>456</v>
      </c>
      <c r="E1105" s="6">
        <v>13000</v>
      </c>
      <c r="F1105" s="109">
        <f>SUM(G1105)</f>
        <v>0</v>
      </c>
      <c r="G1105" s="105">
        <v>0</v>
      </c>
    </row>
    <row r="1106" spans="1:7" ht="19.5" thickBot="1" x14ac:dyDescent="0.45">
      <c r="B1106" s="15"/>
      <c r="C1106" s="16"/>
      <c r="D1106" s="47" t="s">
        <v>454</v>
      </c>
      <c r="E1106" s="17">
        <v>13000</v>
      </c>
      <c r="F1106" s="110">
        <f>SUM(G1106)</f>
        <v>0</v>
      </c>
      <c r="G1106" s="106">
        <v>0</v>
      </c>
    </row>
    <row r="1107" spans="1:7" ht="19.5" thickBot="1" x14ac:dyDescent="0.45">
      <c r="D1107" s="48"/>
    </row>
    <row r="1108" spans="1:7" ht="19.5" thickBot="1" x14ac:dyDescent="0.45">
      <c r="A1108" s="8">
        <v>52</v>
      </c>
      <c r="B1108" s="36" t="s">
        <v>277</v>
      </c>
      <c r="C1108" s="37"/>
      <c r="D1108" s="82" t="s">
        <v>278</v>
      </c>
      <c r="E1108" s="28">
        <v>8590</v>
      </c>
      <c r="F1108" s="119">
        <f>SUM(G1108)</f>
        <v>0</v>
      </c>
      <c r="G1108" s="111">
        <v>0</v>
      </c>
    </row>
    <row r="1109" spans="1:7" ht="19.5" thickBot="1" x14ac:dyDescent="0.45">
      <c r="D1109" s="48"/>
    </row>
    <row r="1110" spans="1:7" ht="19.5" thickBot="1" x14ac:dyDescent="0.45">
      <c r="A1110" s="8">
        <v>53</v>
      </c>
      <c r="B1110" s="36" t="s">
        <v>279</v>
      </c>
      <c r="C1110" s="37"/>
      <c r="D1110" s="82" t="s">
        <v>278</v>
      </c>
      <c r="E1110" s="28">
        <v>11890</v>
      </c>
      <c r="F1110" s="119">
        <f>SUM(G1110)</f>
        <v>0</v>
      </c>
      <c r="G1110" s="111">
        <v>0</v>
      </c>
    </row>
    <row r="1111" spans="1:7" ht="19.5" thickBot="1" x14ac:dyDescent="0.45">
      <c r="D1111" s="48"/>
    </row>
    <row r="1112" spans="1:7" x14ac:dyDescent="0.4">
      <c r="A1112" s="8">
        <v>54</v>
      </c>
      <c r="B1112" s="33" t="s">
        <v>280</v>
      </c>
      <c r="C1112" s="34"/>
      <c r="D1112" s="99" t="s">
        <v>453</v>
      </c>
      <c r="E1112" s="56">
        <v>18890</v>
      </c>
      <c r="F1112" s="121">
        <f>SUM(G1112)</f>
        <v>0</v>
      </c>
      <c r="G1112" s="116">
        <v>0</v>
      </c>
    </row>
    <row r="1113" spans="1:7" x14ac:dyDescent="0.4">
      <c r="B1113" s="14"/>
      <c r="D1113" s="75" t="s">
        <v>449</v>
      </c>
      <c r="E1113" s="6">
        <v>18890</v>
      </c>
      <c r="F1113" s="109">
        <f>SUM(G1113)</f>
        <v>0</v>
      </c>
      <c r="G1113" s="105">
        <v>0</v>
      </c>
    </row>
    <row r="1114" spans="1:7" x14ac:dyDescent="0.4">
      <c r="B1114" s="14" t="str">
        <f>"TOTAL PCS = " &amp; SUM(F1112:F1116)</f>
        <v>TOTAL PCS = 0</v>
      </c>
      <c r="D1114" s="75" t="s">
        <v>450</v>
      </c>
      <c r="E1114" s="6">
        <v>18890</v>
      </c>
      <c r="F1114" s="109">
        <f t="shared" ref="F1114:F1116" si="51">SUM(G1114)</f>
        <v>0</v>
      </c>
      <c r="G1114" s="105">
        <v>0</v>
      </c>
    </row>
    <row r="1115" spans="1:7" x14ac:dyDescent="0.4">
      <c r="B1115" s="14"/>
      <c r="D1115" s="75" t="s">
        <v>451</v>
      </c>
      <c r="E1115" s="6">
        <v>18890</v>
      </c>
      <c r="F1115" s="109">
        <f t="shared" si="51"/>
        <v>0</v>
      </c>
      <c r="G1115" s="105">
        <v>0</v>
      </c>
    </row>
    <row r="1116" spans="1:7" ht="19.5" thickBot="1" x14ac:dyDescent="0.45">
      <c r="B1116" s="15"/>
      <c r="C1116" s="16"/>
      <c r="D1116" s="47" t="s">
        <v>452</v>
      </c>
      <c r="E1116" s="17">
        <v>18890</v>
      </c>
      <c r="F1116" s="110">
        <f t="shared" si="51"/>
        <v>0</v>
      </c>
      <c r="G1116" s="106">
        <v>0</v>
      </c>
    </row>
    <row r="1117" spans="1:7" ht="19.5" thickBot="1" x14ac:dyDescent="0.45">
      <c r="D1117" s="48"/>
    </row>
    <row r="1118" spans="1:7" x14ac:dyDescent="0.4">
      <c r="A1118" s="8">
        <v>55</v>
      </c>
      <c r="B1118" s="33" t="s">
        <v>405</v>
      </c>
      <c r="C1118" s="63"/>
      <c r="D1118" s="83" t="s">
        <v>455</v>
      </c>
      <c r="E1118" s="13">
        <v>16300</v>
      </c>
      <c r="F1118" s="108">
        <f>SUM(G1118)</f>
        <v>0</v>
      </c>
      <c r="G1118" s="104">
        <v>0</v>
      </c>
    </row>
    <row r="1119" spans="1:7" ht="19.5" thickBot="1" x14ac:dyDescent="0.45">
      <c r="B1119" s="15" t="str">
        <f>"TOTAL PCS = " &amp; SUM(F1118:F1119)</f>
        <v>TOTAL PCS = 0</v>
      </c>
      <c r="C1119" s="52"/>
      <c r="D1119" s="85" t="s">
        <v>454</v>
      </c>
      <c r="E1119" s="17">
        <v>16300</v>
      </c>
      <c r="F1119" s="110">
        <f>SUM(G1119)</f>
        <v>0</v>
      </c>
      <c r="G1119" s="106">
        <v>0</v>
      </c>
    </row>
    <row r="1120" spans="1:7" ht="19.5" thickBot="1" x14ac:dyDescent="0.45">
      <c r="D1120" s="48"/>
    </row>
    <row r="1121" spans="1:7" x14ac:dyDescent="0.4">
      <c r="A1121" s="8">
        <v>56</v>
      </c>
      <c r="B1121" s="33" t="s">
        <v>406</v>
      </c>
      <c r="C1121" s="34"/>
      <c r="D1121" s="99" t="s">
        <v>249</v>
      </c>
      <c r="E1121" s="56">
        <v>18300</v>
      </c>
      <c r="F1121" s="121">
        <f>SUM(G1121)</f>
        <v>0</v>
      </c>
      <c r="G1121" s="116">
        <v>0</v>
      </c>
    </row>
    <row r="1122" spans="1:7" ht="19.5" thickBot="1" x14ac:dyDescent="0.45">
      <c r="B1122" s="15" t="str">
        <f>"TOTAL PCS = " &amp; SUM(F1121:F1122)</f>
        <v>TOTAL PCS = 4</v>
      </c>
      <c r="C1122" s="16"/>
      <c r="D1122" s="47" t="s">
        <v>223</v>
      </c>
      <c r="E1122" s="17">
        <v>18300</v>
      </c>
      <c r="F1122" s="110">
        <f>SUM(G1122)</f>
        <v>4</v>
      </c>
      <c r="G1122" s="106">
        <v>4</v>
      </c>
    </row>
    <row r="1123" spans="1:7" ht="19.5" thickBot="1" x14ac:dyDescent="0.45">
      <c r="D1123" s="48"/>
    </row>
    <row r="1124" spans="1:7" x14ac:dyDescent="0.4">
      <c r="A1124" s="8">
        <v>57</v>
      </c>
      <c r="B1124" s="33" t="s">
        <v>281</v>
      </c>
      <c r="C1124" s="34"/>
      <c r="D1124" s="99" t="s">
        <v>264</v>
      </c>
      <c r="E1124" s="56">
        <v>26090</v>
      </c>
      <c r="F1124" s="121">
        <f>SUM(G1124)</f>
        <v>0</v>
      </c>
      <c r="G1124" s="116">
        <v>0</v>
      </c>
    </row>
    <row r="1125" spans="1:7" ht="19.5" thickBot="1" x14ac:dyDescent="0.45">
      <c r="B1125" s="15" t="str">
        <f>"TOTAL PCS = " &amp; SUM(F1124:F1125)</f>
        <v>TOTAL PCS = 1</v>
      </c>
      <c r="C1125" s="16"/>
      <c r="D1125" s="47" t="s">
        <v>347</v>
      </c>
      <c r="E1125" s="17">
        <v>26090</v>
      </c>
      <c r="F1125" s="110">
        <f>SUM(G1125)</f>
        <v>1</v>
      </c>
      <c r="G1125" s="106">
        <v>1</v>
      </c>
    </row>
    <row r="1126" spans="1:7" ht="19.5" thickBot="1" x14ac:dyDescent="0.45">
      <c r="D1126" s="48"/>
    </row>
    <row r="1127" spans="1:7" x14ac:dyDescent="0.4">
      <c r="A1127" s="8">
        <v>58</v>
      </c>
      <c r="B1127" s="33" t="s">
        <v>282</v>
      </c>
      <c r="C1127" s="34"/>
      <c r="D1127" s="99" t="s">
        <v>235</v>
      </c>
      <c r="E1127" s="56">
        <v>16300</v>
      </c>
      <c r="F1127" s="121">
        <f>SUM(G1127)</f>
        <v>0</v>
      </c>
      <c r="G1127" s="116">
        <v>0</v>
      </c>
    </row>
    <row r="1128" spans="1:7" x14ac:dyDescent="0.4">
      <c r="B1128" s="14"/>
      <c r="D1128" s="75" t="s">
        <v>456</v>
      </c>
      <c r="E1128" s="6">
        <v>16300</v>
      </c>
      <c r="F1128" s="109">
        <f>SUM(G1128)</f>
        <v>0</v>
      </c>
      <c r="G1128" s="105">
        <v>0</v>
      </c>
    </row>
    <row r="1129" spans="1:7" ht="19.5" thickBot="1" x14ac:dyDescent="0.45">
      <c r="B1129" s="15" t="str">
        <f>"TOTAL PCS = "&amp;SUM(F1127:F1129)</f>
        <v>TOTAL PCS = 1</v>
      </c>
      <c r="C1129" s="16"/>
      <c r="D1129" s="47" t="s">
        <v>454</v>
      </c>
      <c r="E1129" s="17">
        <v>16300</v>
      </c>
      <c r="F1129" s="110">
        <f>SUM(G1129)</f>
        <v>1</v>
      </c>
      <c r="G1129" s="106">
        <v>1</v>
      </c>
    </row>
    <row r="1130" spans="1:7" ht="19.5" thickBot="1" x14ac:dyDescent="0.45">
      <c r="D1130" s="48"/>
    </row>
    <row r="1131" spans="1:7" x14ac:dyDescent="0.4">
      <c r="A1131" s="8">
        <v>59</v>
      </c>
      <c r="B1131" s="33" t="s">
        <v>275</v>
      </c>
      <c r="C1131" s="34"/>
      <c r="D1131" s="46" t="s">
        <v>249</v>
      </c>
      <c r="E1131" s="13">
        <v>4590</v>
      </c>
      <c r="F1131" s="108">
        <f>SUM(G1131)</f>
        <v>1</v>
      </c>
      <c r="G1131" s="104">
        <v>1</v>
      </c>
    </row>
    <row r="1132" spans="1:7" ht="19.5" thickBot="1" x14ac:dyDescent="0.45">
      <c r="B1132" s="15" t="str">
        <f>"TOTAL PCS  = " &amp; SUM(F1131:F1132)</f>
        <v>TOTAL PCS  = 7</v>
      </c>
      <c r="C1132" s="16"/>
      <c r="D1132" s="47" t="s">
        <v>606</v>
      </c>
      <c r="E1132" s="17">
        <v>3890</v>
      </c>
      <c r="F1132" s="110">
        <f>SUM(G1132)</f>
        <v>6</v>
      </c>
      <c r="G1132" s="106">
        <v>6</v>
      </c>
    </row>
    <row r="1133" spans="1:7" ht="19.5" thickBot="1" x14ac:dyDescent="0.45"/>
    <row r="1134" spans="1:7" x14ac:dyDescent="0.4">
      <c r="A1134" s="8">
        <v>60</v>
      </c>
      <c r="B1134" s="33" t="s">
        <v>457</v>
      </c>
      <c r="C1134" s="34"/>
      <c r="D1134" s="46" t="s">
        <v>248</v>
      </c>
      <c r="E1134" s="13">
        <v>3800</v>
      </c>
      <c r="F1134" s="108">
        <f>SUM(G1134)</f>
        <v>0</v>
      </c>
      <c r="G1134" s="104">
        <v>0</v>
      </c>
    </row>
    <row r="1135" spans="1:7" x14ac:dyDescent="0.4">
      <c r="B1135" s="14"/>
      <c r="D1135" s="75" t="s">
        <v>232</v>
      </c>
      <c r="E1135" s="6">
        <v>3550</v>
      </c>
      <c r="F1135" s="109">
        <f>SUM(G1135)</f>
        <v>4</v>
      </c>
      <c r="G1135" s="105">
        <v>4</v>
      </c>
    </row>
    <row r="1136" spans="1:7" x14ac:dyDescent="0.4">
      <c r="B1136" s="14" t="str">
        <f>" TOTAL PCS = "&amp;SUM(F1134:F1137)</f>
        <v xml:space="preserve"> TOTAL PCS = 12</v>
      </c>
      <c r="D1136" s="75" t="s">
        <v>51</v>
      </c>
      <c r="E1136" s="6">
        <v>3150</v>
      </c>
      <c r="F1136" s="109">
        <f t="shared" ref="F1136:F1137" si="52">SUM(G1136)</f>
        <v>6</v>
      </c>
      <c r="G1136" s="105">
        <v>6</v>
      </c>
    </row>
    <row r="1137" spans="1:7" ht="19.5" thickBot="1" x14ac:dyDescent="0.45">
      <c r="B1137" s="15"/>
      <c r="C1137" s="16"/>
      <c r="D1137" s="47" t="s">
        <v>458</v>
      </c>
      <c r="E1137" s="17"/>
      <c r="F1137" s="110">
        <f t="shared" si="52"/>
        <v>2</v>
      </c>
      <c r="G1137" s="106">
        <v>2</v>
      </c>
    </row>
    <row r="1138" spans="1:7" ht="19.5" thickBot="1" x14ac:dyDescent="0.45">
      <c r="D1138" s="48"/>
    </row>
    <row r="1139" spans="1:7" x14ac:dyDescent="0.4">
      <c r="A1139" s="8">
        <v>61</v>
      </c>
      <c r="B1139" s="136" t="s">
        <v>607</v>
      </c>
      <c r="C1139" s="12"/>
      <c r="D1139" s="46"/>
      <c r="E1139" s="13"/>
      <c r="F1139" s="108">
        <f>SUM(G1139)</f>
        <v>1</v>
      </c>
      <c r="G1139" s="104">
        <v>1</v>
      </c>
    </row>
    <row r="1140" spans="1:7" x14ac:dyDescent="0.4">
      <c r="B1140" s="137" t="s">
        <v>608</v>
      </c>
      <c r="C1140" s="5"/>
      <c r="D1140" s="75"/>
      <c r="E1140" s="6"/>
      <c r="F1140" s="109">
        <f t="shared" ref="F1140:F1142" si="53">SUM(G1140)</f>
        <v>0</v>
      </c>
      <c r="G1140" s="105">
        <v>0</v>
      </c>
    </row>
    <row r="1141" spans="1:7" x14ac:dyDescent="0.4">
      <c r="B1141" s="137" t="s">
        <v>609</v>
      </c>
      <c r="C1141" s="5"/>
      <c r="D1141" s="75"/>
      <c r="E1141" s="6"/>
      <c r="F1141" s="109">
        <f t="shared" si="53"/>
        <v>1</v>
      </c>
      <c r="G1141" s="105">
        <v>1</v>
      </c>
    </row>
    <row r="1142" spans="1:7" ht="19.5" thickBot="1" x14ac:dyDescent="0.45">
      <c r="B1142" s="138" t="s">
        <v>610</v>
      </c>
      <c r="C1142" s="42"/>
      <c r="D1142" s="47"/>
      <c r="E1142" s="17"/>
      <c r="F1142" s="110">
        <f t="shared" si="53"/>
        <v>1</v>
      </c>
      <c r="G1142" s="106">
        <v>1</v>
      </c>
    </row>
    <row r="1143" spans="1:7" ht="19.5" thickBot="1" x14ac:dyDescent="0.45">
      <c r="D1143" s="48"/>
    </row>
    <row r="1144" spans="1:7" x14ac:dyDescent="0.4">
      <c r="A1144" s="8">
        <v>62</v>
      </c>
      <c r="B1144" s="136" t="s">
        <v>611</v>
      </c>
      <c r="C1144" s="12"/>
      <c r="D1144" s="46"/>
      <c r="E1144" s="13"/>
      <c r="F1144" s="108">
        <f>SUM(G1144)</f>
        <v>11</v>
      </c>
      <c r="G1144" s="104">
        <v>11</v>
      </c>
    </row>
    <row r="1145" spans="1:7" ht="19.5" thickBot="1" x14ac:dyDescent="0.45">
      <c r="B1145" s="138" t="s">
        <v>612</v>
      </c>
      <c r="C1145" s="42"/>
      <c r="D1145" s="47"/>
      <c r="E1145" s="17"/>
      <c r="F1145" s="110">
        <f>SUM(G1145)</f>
        <v>1</v>
      </c>
      <c r="G1145" s="106">
        <v>1</v>
      </c>
    </row>
    <row r="1146" spans="1:7" x14ac:dyDescent="0.4">
      <c r="G1146" s="96" t="s">
        <v>285</v>
      </c>
    </row>
    <row r="1147" spans="1:7" x14ac:dyDescent="0.4">
      <c r="A1147" s="8" t="s">
        <v>512</v>
      </c>
    </row>
    <row r="1148" spans="1:7" ht="19.5" thickBot="1" x14ac:dyDescent="0.45"/>
    <row r="1149" spans="1:7" x14ac:dyDescent="0.4">
      <c r="A1149" s="8">
        <v>1</v>
      </c>
      <c r="B1149" s="33" t="s">
        <v>503</v>
      </c>
      <c r="C1149" s="63"/>
      <c r="D1149" s="128" t="s">
        <v>504</v>
      </c>
      <c r="E1149" s="13">
        <v>20690</v>
      </c>
      <c r="F1149" s="108">
        <f>SUM(G1149)</f>
        <v>2</v>
      </c>
      <c r="G1149" s="104">
        <v>2</v>
      </c>
    </row>
    <row r="1150" spans="1:7" ht="19.5" thickBot="1" x14ac:dyDescent="0.45">
      <c r="B1150" s="15" t="str">
        <f>" TOTAL PCS = "&amp;SUM(F1149:F1150)</f>
        <v xml:space="preserve"> TOTAL PCS = 2</v>
      </c>
      <c r="C1150" s="52"/>
      <c r="D1150" s="129" t="s">
        <v>511</v>
      </c>
      <c r="E1150" s="17">
        <v>22690</v>
      </c>
      <c r="F1150" s="110">
        <f>SUM(G1150)</f>
        <v>0</v>
      </c>
      <c r="G1150" s="106">
        <v>0</v>
      </c>
    </row>
    <row r="1151" spans="1:7" ht="19.5" thickBot="1" x14ac:dyDescent="0.45"/>
    <row r="1152" spans="1:7" x14ac:dyDescent="0.4">
      <c r="A1152" s="8">
        <v>2</v>
      </c>
      <c r="B1152" s="33" t="s">
        <v>506</v>
      </c>
      <c r="C1152" s="34"/>
      <c r="D1152" s="127" t="s">
        <v>504</v>
      </c>
      <c r="E1152" s="13">
        <v>18490</v>
      </c>
      <c r="F1152" s="108">
        <f>SUM(G1152)</f>
        <v>0</v>
      </c>
      <c r="G1152" s="104">
        <v>0</v>
      </c>
    </row>
    <row r="1153" spans="1:7" ht="19.5" thickBot="1" x14ac:dyDescent="0.45">
      <c r="B1153" s="15" t="str">
        <f>" TOTAL PCS = "&amp;SUM(F1152:F1153)</f>
        <v xml:space="preserve"> TOTAL PCS = 1</v>
      </c>
      <c r="C1153" s="16"/>
      <c r="D1153" s="2" t="s">
        <v>505</v>
      </c>
      <c r="E1153" s="17">
        <v>20690</v>
      </c>
      <c r="F1153" s="110">
        <f>SUM(G1153)</f>
        <v>1</v>
      </c>
      <c r="G1153" s="106">
        <v>1</v>
      </c>
    </row>
    <row r="1154" spans="1:7" ht="19.5" thickBot="1" x14ac:dyDescent="0.45"/>
    <row r="1155" spans="1:7" ht="19.5" thickBot="1" x14ac:dyDescent="0.45">
      <c r="A1155" s="8">
        <v>3</v>
      </c>
      <c r="B1155" s="36" t="s">
        <v>507</v>
      </c>
      <c r="C1155" s="37"/>
      <c r="D1155" s="130" t="s">
        <v>504</v>
      </c>
      <c r="E1155" s="131">
        <v>17590</v>
      </c>
      <c r="F1155" s="119">
        <f>SUM(G1155)</f>
        <v>0</v>
      </c>
      <c r="G1155" s="111">
        <v>0</v>
      </c>
    </row>
    <row r="1156" spans="1:7" ht="19.5" thickBot="1" x14ac:dyDescent="0.45"/>
    <row r="1157" spans="1:7" ht="19.5" thickBot="1" x14ac:dyDescent="0.45">
      <c r="A1157" s="8">
        <v>4</v>
      </c>
      <c r="B1157" s="36" t="s">
        <v>508</v>
      </c>
      <c r="C1157" s="37"/>
      <c r="D1157" s="130" t="s">
        <v>504</v>
      </c>
      <c r="E1157" s="28">
        <v>15190</v>
      </c>
      <c r="F1157" s="119">
        <f>SUM(G1157)</f>
        <v>0</v>
      </c>
      <c r="G1157" s="111">
        <v>0</v>
      </c>
    </row>
    <row r="1158" spans="1:7" ht="19.5" thickBot="1" x14ac:dyDescent="0.45"/>
    <row r="1159" spans="1:7" ht="19.5" thickBot="1" x14ac:dyDescent="0.45">
      <c r="A1159" s="8">
        <v>5</v>
      </c>
      <c r="B1159" s="36" t="s">
        <v>509</v>
      </c>
      <c r="C1159" s="37"/>
      <c r="D1159" s="130" t="s">
        <v>504</v>
      </c>
      <c r="E1159" s="28">
        <v>24790</v>
      </c>
      <c r="F1159" s="119">
        <f>SUM(G1159)</f>
        <v>0</v>
      </c>
      <c r="G1159" s="111">
        <v>0</v>
      </c>
    </row>
    <row r="1160" spans="1:7" ht="19.5" thickBot="1" x14ac:dyDescent="0.45"/>
    <row r="1161" spans="1:7" ht="19.5" thickBot="1" x14ac:dyDescent="0.45">
      <c r="A1161" s="8">
        <v>6</v>
      </c>
      <c r="B1161" s="36" t="s">
        <v>510</v>
      </c>
      <c r="C1161" s="37"/>
      <c r="D1161" s="130" t="s">
        <v>504</v>
      </c>
      <c r="E1161" s="28">
        <v>26990</v>
      </c>
      <c r="F1161" s="119">
        <f>SUM(G1161)</f>
        <v>0</v>
      </c>
      <c r="G1161" s="11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2A67-137F-4B9D-975B-AA4F61BE0092}">
  <sheetPr codeName="Sheet8">
    <tabColor rgb="FF00FF00"/>
  </sheetPr>
  <dimension ref="A1:I1189"/>
  <sheetViews>
    <sheetView tabSelected="1" zoomScaleNormal="100" workbookViewId="0">
      <pane ySplit="1" topLeftCell="A764" activePane="bottomLeft" state="frozen"/>
      <selection activeCell="B1" sqref="B1"/>
      <selection pane="bottomLeft" activeCell="D772" sqref="D772"/>
    </sheetView>
  </sheetViews>
  <sheetFormatPr defaultRowHeight="18.75" x14ac:dyDescent="0.4"/>
  <cols>
    <col min="1" max="1" width="9.140625" style="8" customWidth="1"/>
    <col min="2" max="2" width="60.5703125" style="159" customWidth="1"/>
    <col min="3" max="3" width="24.42578125" style="201" customWidth="1"/>
    <col min="4" max="4" width="45.42578125" style="159" bestFit="1" customWidth="1"/>
    <col min="5" max="5" width="14.85546875" style="10" customWidth="1"/>
    <col min="6" max="6" width="18.85546875" style="96" bestFit="1" customWidth="1"/>
    <col min="7" max="7" width="14.42578125" style="96" customWidth="1"/>
    <col min="8" max="8" width="14" customWidth="1"/>
  </cols>
  <sheetData>
    <row r="1" spans="1:8" s="4" customFormat="1" ht="23.25" customHeight="1" thickBot="1" x14ac:dyDescent="0.45">
      <c r="A1" s="139" t="s">
        <v>0</v>
      </c>
      <c r="B1" s="233" t="s">
        <v>3</v>
      </c>
      <c r="C1" s="232" t="s">
        <v>4</v>
      </c>
      <c r="D1" s="231" t="s">
        <v>5</v>
      </c>
      <c r="E1" s="140" t="s">
        <v>2</v>
      </c>
      <c r="F1" s="141" t="s">
        <v>1</v>
      </c>
      <c r="G1" s="103"/>
      <c r="H1" s="18"/>
    </row>
    <row r="2" spans="1:8" x14ac:dyDescent="0.4">
      <c r="A2" s="8">
        <v>1</v>
      </c>
      <c r="B2" s="181" t="s">
        <v>45</v>
      </c>
      <c r="C2" s="200" t="s">
        <v>43</v>
      </c>
      <c r="D2" s="156" t="s">
        <v>579</v>
      </c>
      <c r="E2" s="13">
        <v>36690</v>
      </c>
      <c r="F2" s="108">
        <f t="shared" ref="F2:F9" si="0">SUM(G2)</f>
        <v>1</v>
      </c>
      <c r="G2" s="104">
        <v>1</v>
      </c>
    </row>
    <row r="3" spans="1:8" x14ac:dyDescent="0.4">
      <c r="B3" s="182" t="s">
        <v>45</v>
      </c>
      <c r="C3" s="201" t="s">
        <v>43</v>
      </c>
      <c r="D3" s="157" t="s">
        <v>580</v>
      </c>
      <c r="E3" s="6">
        <v>36690</v>
      </c>
      <c r="F3" s="109">
        <f t="shared" si="0"/>
        <v>2</v>
      </c>
      <c r="G3" s="105">
        <v>2</v>
      </c>
    </row>
    <row r="4" spans="1:8" x14ac:dyDescent="0.4">
      <c r="B4" s="182" t="s">
        <v>45</v>
      </c>
      <c r="C4" s="201" t="s">
        <v>43</v>
      </c>
      <c r="D4" s="157" t="s">
        <v>587</v>
      </c>
      <c r="E4" s="6">
        <v>41990</v>
      </c>
      <c r="F4" s="109">
        <f t="shared" si="0"/>
        <v>1</v>
      </c>
      <c r="G4" s="105">
        <v>1</v>
      </c>
    </row>
    <row r="5" spans="1:8" x14ac:dyDescent="0.4">
      <c r="B5" s="182" t="s">
        <v>45</v>
      </c>
      <c r="C5" s="201" t="s">
        <v>43</v>
      </c>
      <c r="D5" s="157" t="s">
        <v>588</v>
      </c>
      <c r="E5" s="6">
        <v>36690</v>
      </c>
      <c r="F5" s="109">
        <f t="shared" si="0"/>
        <v>0</v>
      </c>
      <c r="G5" s="105">
        <v>0</v>
      </c>
    </row>
    <row r="6" spans="1:8" x14ac:dyDescent="0.4">
      <c r="B6" s="182" t="s">
        <v>45</v>
      </c>
      <c r="C6" s="201" t="s">
        <v>43</v>
      </c>
      <c r="D6" s="157" t="s">
        <v>583</v>
      </c>
      <c r="E6" s="6">
        <v>36690</v>
      </c>
      <c r="F6" s="109">
        <f t="shared" si="0"/>
        <v>1</v>
      </c>
      <c r="G6" s="105">
        <v>1</v>
      </c>
    </row>
    <row r="7" spans="1:8" x14ac:dyDescent="0.4">
      <c r="B7" s="182" t="s">
        <v>45</v>
      </c>
      <c r="C7" s="201" t="s">
        <v>43</v>
      </c>
      <c r="D7" s="157" t="s">
        <v>584</v>
      </c>
      <c r="E7" s="6">
        <v>36690</v>
      </c>
      <c r="F7" s="109">
        <f t="shared" si="0"/>
        <v>2</v>
      </c>
      <c r="G7" s="105">
        <v>2</v>
      </c>
    </row>
    <row r="8" spans="1:8" x14ac:dyDescent="0.4">
      <c r="B8" s="182" t="s">
        <v>45</v>
      </c>
      <c r="C8" s="201" t="s">
        <v>43</v>
      </c>
      <c r="D8" s="157" t="s">
        <v>585</v>
      </c>
      <c r="E8" s="6">
        <v>36690</v>
      </c>
      <c r="F8" s="109">
        <f t="shared" si="0"/>
        <v>1</v>
      </c>
      <c r="G8" s="105">
        <v>1</v>
      </c>
    </row>
    <row r="9" spans="1:8" ht="19.5" customHeight="1" thickBot="1" x14ac:dyDescent="0.45">
      <c r="B9" s="183" t="s">
        <v>45</v>
      </c>
      <c r="C9" s="202" t="s">
        <v>43</v>
      </c>
      <c r="D9" s="158" t="s">
        <v>586</v>
      </c>
      <c r="E9" s="17">
        <v>36690</v>
      </c>
      <c r="F9" s="110">
        <f t="shared" si="0"/>
        <v>2</v>
      </c>
      <c r="G9" s="106">
        <v>2</v>
      </c>
    </row>
    <row r="10" spans="1:8" ht="19.5" customHeight="1" thickBot="1" x14ac:dyDescent="0.45"/>
    <row r="11" spans="1:8" x14ac:dyDescent="0.4">
      <c r="A11" s="8">
        <v>2</v>
      </c>
      <c r="B11" s="181" t="s">
        <v>446</v>
      </c>
      <c r="C11" s="200" t="s">
        <v>44</v>
      </c>
      <c r="D11" s="156" t="s">
        <v>579</v>
      </c>
      <c r="E11" s="13">
        <v>15690</v>
      </c>
      <c r="F11" s="108">
        <f t="shared" ref="F11:F18" si="1">SUM(G11)</f>
        <v>2</v>
      </c>
      <c r="G11" s="104">
        <v>2</v>
      </c>
    </row>
    <row r="12" spans="1:8" x14ac:dyDescent="0.4">
      <c r="B12" s="182" t="s">
        <v>446</v>
      </c>
      <c r="C12" s="201" t="s">
        <v>44</v>
      </c>
      <c r="D12" s="157" t="s">
        <v>580</v>
      </c>
      <c r="E12" s="6">
        <v>15690</v>
      </c>
      <c r="F12" s="109">
        <f t="shared" si="1"/>
        <v>0</v>
      </c>
      <c r="G12" s="105">
        <v>0</v>
      </c>
    </row>
    <row r="13" spans="1:8" x14ac:dyDescent="0.4">
      <c r="B13" s="182" t="s">
        <v>446</v>
      </c>
      <c r="C13" s="201" t="s">
        <v>44</v>
      </c>
      <c r="D13" s="157" t="s">
        <v>581</v>
      </c>
      <c r="E13" s="6">
        <v>15690</v>
      </c>
      <c r="F13" s="109">
        <f t="shared" si="1"/>
        <v>0</v>
      </c>
      <c r="G13" s="105">
        <v>0</v>
      </c>
    </row>
    <row r="14" spans="1:8" x14ac:dyDescent="0.4">
      <c r="B14" s="182" t="s">
        <v>446</v>
      </c>
      <c r="C14" s="201" t="s">
        <v>44</v>
      </c>
      <c r="D14" s="157" t="s">
        <v>582</v>
      </c>
      <c r="E14" s="6">
        <v>15690</v>
      </c>
      <c r="F14" s="109">
        <f t="shared" si="1"/>
        <v>2</v>
      </c>
      <c r="G14" s="105">
        <v>2</v>
      </c>
    </row>
    <row r="15" spans="1:8" x14ac:dyDescent="0.4">
      <c r="B15" s="182" t="s">
        <v>446</v>
      </c>
      <c r="C15" s="201" t="s">
        <v>44</v>
      </c>
      <c r="D15" s="157" t="s">
        <v>583</v>
      </c>
      <c r="E15" s="6">
        <v>13590</v>
      </c>
      <c r="F15" s="109">
        <f t="shared" si="1"/>
        <v>1</v>
      </c>
      <c r="G15" s="105">
        <v>1</v>
      </c>
    </row>
    <row r="16" spans="1:8" x14ac:dyDescent="0.4">
      <c r="B16" s="182" t="s">
        <v>446</v>
      </c>
      <c r="C16" s="201" t="s">
        <v>44</v>
      </c>
      <c r="D16" s="157" t="s">
        <v>584</v>
      </c>
      <c r="E16" s="6">
        <v>13590</v>
      </c>
      <c r="F16" s="109">
        <f t="shared" si="1"/>
        <v>2</v>
      </c>
      <c r="G16" s="105">
        <v>2</v>
      </c>
    </row>
    <row r="17" spans="1:7" x14ac:dyDescent="0.4">
      <c r="B17" s="182" t="s">
        <v>446</v>
      </c>
      <c r="C17" s="201" t="s">
        <v>44</v>
      </c>
      <c r="D17" s="160" t="s">
        <v>585</v>
      </c>
      <c r="E17" s="7">
        <v>13590</v>
      </c>
      <c r="F17" s="109">
        <f t="shared" si="1"/>
        <v>1</v>
      </c>
      <c r="G17" s="107">
        <v>1</v>
      </c>
    </row>
    <row r="18" spans="1:7" ht="19.5" customHeight="1" thickBot="1" x14ac:dyDescent="0.45">
      <c r="B18" s="183" t="s">
        <v>446</v>
      </c>
      <c r="C18" s="202" t="s">
        <v>44</v>
      </c>
      <c r="D18" s="158" t="s">
        <v>586</v>
      </c>
      <c r="E18" s="17">
        <v>13590</v>
      </c>
      <c r="F18" s="110">
        <f t="shared" si="1"/>
        <v>1</v>
      </c>
      <c r="G18" s="106">
        <v>1</v>
      </c>
    </row>
    <row r="19" spans="1:7" ht="19.5" customHeight="1" thickBot="1" x14ac:dyDescent="0.45"/>
    <row r="20" spans="1:7" x14ac:dyDescent="0.4">
      <c r="A20" s="8">
        <v>3</v>
      </c>
      <c r="B20" s="181" t="s">
        <v>543</v>
      </c>
      <c r="C20" s="200" t="s">
        <v>10</v>
      </c>
      <c r="D20" s="156" t="s">
        <v>592</v>
      </c>
      <c r="E20" s="13">
        <v>19890</v>
      </c>
      <c r="F20" s="108">
        <f t="shared" ref="F20:F27" si="2">SUM(G20)</f>
        <v>0</v>
      </c>
      <c r="G20" s="104">
        <v>0</v>
      </c>
    </row>
    <row r="21" spans="1:7" x14ac:dyDescent="0.4">
      <c r="B21" s="182" t="s">
        <v>543</v>
      </c>
      <c r="C21" s="201" t="s">
        <v>10</v>
      </c>
      <c r="D21" s="157" t="s">
        <v>589</v>
      </c>
      <c r="E21" s="6">
        <v>19890</v>
      </c>
      <c r="F21" s="109">
        <f t="shared" si="2"/>
        <v>2</v>
      </c>
      <c r="G21" s="105">
        <v>2</v>
      </c>
    </row>
    <row r="22" spans="1:7" x14ac:dyDescent="0.4">
      <c r="B22" s="182" t="s">
        <v>543</v>
      </c>
      <c r="C22" s="201" t="s">
        <v>10</v>
      </c>
      <c r="D22" s="157" t="s">
        <v>593</v>
      </c>
      <c r="E22" s="6">
        <v>19890</v>
      </c>
      <c r="F22" s="109">
        <f t="shared" si="2"/>
        <v>0</v>
      </c>
      <c r="G22" s="105">
        <v>0</v>
      </c>
    </row>
    <row r="23" spans="1:7" x14ac:dyDescent="0.4">
      <c r="B23" s="182" t="s">
        <v>543</v>
      </c>
      <c r="C23" s="201" t="s">
        <v>10</v>
      </c>
      <c r="D23" s="157" t="s">
        <v>590</v>
      </c>
      <c r="E23" s="6">
        <v>19890</v>
      </c>
      <c r="F23" s="109">
        <f t="shared" si="2"/>
        <v>3</v>
      </c>
      <c r="G23" s="105">
        <v>3</v>
      </c>
    </row>
    <row r="24" spans="1:7" x14ac:dyDescent="0.4">
      <c r="B24" s="182" t="s">
        <v>543</v>
      </c>
      <c r="C24" s="201" t="s">
        <v>10</v>
      </c>
      <c r="D24" s="157" t="s">
        <v>591</v>
      </c>
      <c r="E24" s="6">
        <v>19890</v>
      </c>
      <c r="F24" s="109">
        <f t="shared" si="2"/>
        <v>1</v>
      </c>
      <c r="G24" s="105">
        <v>1</v>
      </c>
    </row>
    <row r="25" spans="1:7" x14ac:dyDescent="0.4">
      <c r="B25" s="182" t="s">
        <v>543</v>
      </c>
      <c r="C25" s="201" t="s">
        <v>10</v>
      </c>
      <c r="D25" s="157" t="s">
        <v>588</v>
      </c>
      <c r="E25" s="6">
        <v>19890</v>
      </c>
      <c r="F25" s="109">
        <f t="shared" si="2"/>
        <v>0</v>
      </c>
      <c r="G25" s="105">
        <v>0</v>
      </c>
    </row>
    <row r="26" spans="1:7" x14ac:dyDescent="0.4">
      <c r="B26" s="182" t="s">
        <v>543</v>
      </c>
      <c r="C26" s="201" t="s">
        <v>10</v>
      </c>
      <c r="D26" s="160" t="s">
        <v>544</v>
      </c>
      <c r="E26" s="6">
        <v>17790</v>
      </c>
      <c r="F26" s="109">
        <f t="shared" si="2"/>
        <v>0</v>
      </c>
      <c r="G26" s="105">
        <v>0</v>
      </c>
    </row>
    <row r="27" spans="1:7" ht="19.5" customHeight="1" thickBot="1" x14ac:dyDescent="0.45">
      <c r="B27" s="183" t="s">
        <v>543</v>
      </c>
      <c r="C27" s="202" t="s">
        <v>10</v>
      </c>
      <c r="D27" s="158" t="s">
        <v>545</v>
      </c>
      <c r="E27" s="17">
        <v>17790</v>
      </c>
      <c r="F27" s="110">
        <f t="shared" si="2"/>
        <v>1</v>
      </c>
      <c r="G27" s="106">
        <v>1</v>
      </c>
    </row>
    <row r="28" spans="1:7" ht="19.5" customHeight="1" thickBot="1" x14ac:dyDescent="0.45"/>
    <row r="29" spans="1:7" x14ac:dyDescent="0.4">
      <c r="A29" s="8">
        <v>4</v>
      </c>
      <c r="B29" s="181" t="s">
        <v>445</v>
      </c>
      <c r="C29" s="200" t="s">
        <v>11</v>
      </c>
      <c r="D29" s="156" t="s">
        <v>594</v>
      </c>
      <c r="E29" s="13">
        <v>14590</v>
      </c>
      <c r="F29" s="108">
        <f t="shared" ref="F29:F35" si="3">SUM(G29)</f>
        <v>1</v>
      </c>
      <c r="G29" s="104">
        <v>1</v>
      </c>
    </row>
    <row r="30" spans="1:7" x14ac:dyDescent="0.4">
      <c r="B30" s="182" t="s">
        <v>445</v>
      </c>
      <c r="C30" s="201" t="s">
        <v>11</v>
      </c>
      <c r="D30" s="157" t="s">
        <v>585</v>
      </c>
      <c r="E30" s="6">
        <v>14590</v>
      </c>
      <c r="F30" s="109">
        <f t="shared" si="3"/>
        <v>0</v>
      </c>
      <c r="G30" s="105">
        <v>0</v>
      </c>
    </row>
    <row r="31" spans="1:7" x14ac:dyDescent="0.4">
      <c r="B31" s="182" t="s">
        <v>445</v>
      </c>
      <c r="C31" s="201" t="s">
        <v>11</v>
      </c>
      <c r="D31" s="157" t="s">
        <v>586</v>
      </c>
      <c r="E31" s="6">
        <v>14590</v>
      </c>
      <c r="F31" s="109">
        <f t="shared" si="3"/>
        <v>0</v>
      </c>
      <c r="G31" s="105">
        <v>0</v>
      </c>
    </row>
    <row r="32" spans="1:7" x14ac:dyDescent="0.4">
      <c r="B32" s="182" t="s">
        <v>445</v>
      </c>
      <c r="C32" s="201" t="s">
        <v>11</v>
      </c>
      <c r="D32" s="157" t="s">
        <v>579</v>
      </c>
      <c r="E32" s="6">
        <v>15690</v>
      </c>
      <c r="F32" s="109">
        <f t="shared" si="3"/>
        <v>0</v>
      </c>
      <c r="G32" s="105">
        <v>0</v>
      </c>
    </row>
    <row r="33" spans="1:7" x14ac:dyDescent="0.4">
      <c r="B33" s="182" t="s">
        <v>445</v>
      </c>
      <c r="C33" s="201" t="s">
        <v>11</v>
      </c>
      <c r="D33" s="157" t="s">
        <v>580</v>
      </c>
      <c r="E33" s="6">
        <v>15690</v>
      </c>
      <c r="F33" s="109">
        <f t="shared" si="3"/>
        <v>0</v>
      </c>
      <c r="G33" s="105">
        <v>0</v>
      </c>
    </row>
    <row r="34" spans="1:7" x14ac:dyDescent="0.4">
      <c r="B34" s="182" t="s">
        <v>445</v>
      </c>
      <c r="C34" s="201" t="s">
        <v>11</v>
      </c>
      <c r="D34" s="157" t="s">
        <v>593</v>
      </c>
      <c r="E34" s="6">
        <v>15690</v>
      </c>
      <c r="F34" s="109">
        <f t="shared" si="3"/>
        <v>0</v>
      </c>
      <c r="G34" s="105">
        <v>0</v>
      </c>
    </row>
    <row r="35" spans="1:7" ht="19.5" customHeight="1" thickBot="1" x14ac:dyDescent="0.45">
      <c r="B35" s="183" t="s">
        <v>445</v>
      </c>
      <c r="C35" s="202" t="s">
        <v>11</v>
      </c>
      <c r="D35" s="158" t="s">
        <v>595</v>
      </c>
      <c r="E35" s="17">
        <v>15690</v>
      </c>
      <c r="F35" s="110">
        <f t="shared" si="3"/>
        <v>0</v>
      </c>
      <c r="G35" s="106">
        <v>0</v>
      </c>
    </row>
    <row r="36" spans="1:7" ht="19.5" customHeight="1" thickBot="1" x14ac:dyDescent="0.45"/>
    <row r="37" spans="1:7" x14ac:dyDescent="0.4">
      <c r="A37" s="8">
        <v>5</v>
      </c>
      <c r="B37" s="181" t="s">
        <v>444</v>
      </c>
      <c r="C37" s="200" t="s">
        <v>12</v>
      </c>
      <c r="D37" s="156" t="s">
        <v>584</v>
      </c>
      <c r="E37" s="13">
        <v>15690</v>
      </c>
      <c r="F37" s="108">
        <f t="shared" ref="F37:F43" si="4">SUM(G37)</f>
        <v>1</v>
      </c>
      <c r="G37" s="104">
        <v>1</v>
      </c>
    </row>
    <row r="38" spans="1:7" x14ac:dyDescent="0.4">
      <c r="B38" s="182" t="s">
        <v>444</v>
      </c>
      <c r="C38" s="201" t="s">
        <v>12</v>
      </c>
      <c r="D38" s="157" t="s">
        <v>585</v>
      </c>
      <c r="E38" s="6">
        <v>15690</v>
      </c>
      <c r="F38" s="109">
        <f t="shared" si="4"/>
        <v>0</v>
      </c>
      <c r="G38" s="105">
        <v>0</v>
      </c>
    </row>
    <row r="39" spans="1:7" x14ac:dyDescent="0.4">
      <c r="B39" s="182" t="s">
        <v>444</v>
      </c>
      <c r="C39" s="201" t="s">
        <v>12</v>
      </c>
      <c r="D39" s="157" t="s">
        <v>586</v>
      </c>
      <c r="E39" s="6">
        <v>15690</v>
      </c>
      <c r="F39" s="109">
        <f t="shared" si="4"/>
        <v>0</v>
      </c>
      <c r="G39" s="105">
        <v>0</v>
      </c>
    </row>
    <row r="40" spans="1:7" x14ac:dyDescent="0.4">
      <c r="B40" s="182" t="s">
        <v>444</v>
      </c>
      <c r="C40" s="201" t="s">
        <v>12</v>
      </c>
      <c r="D40" s="157" t="s">
        <v>579</v>
      </c>
      <c r="E40" s="6">
        <v>16690</v>
      </c>
      <c r="F40" s="109">
        <f t="shared" si="4"/>
        <v>0</v>
      </c>
      <c r="G40" s="105">
        <v>0</v>
      </c>
    </row>
    <row r="41" spans="1:7" x14ac:dyDescent="0.4">
      <c r="B41" s="182" t="s">
        <v>444</v>
      </c>
      <c r="C41" s="201" t="s">
        <v>12</v>
      </c>
      <c r="D41" s="157" t="s">
        <v>580</v>
      </c>
      <c r="E41" s="6">
        <v>16690</v>
      </c>
      <c r="F41" s="109">
        <f t="shared" si="4"/>
        <v>0</v>
      </c>
      <c r="G41" s="105">
        <v>0</v>
      </c>
    </row>
    <row r="42" spans="1:7" x14ac:dyDescent="0.4">
      <c r="B42" s="182" t="s">
        <v>444</v>
      </c>
      <c r="C42" s="201" t="s">
        <v>12</v>
      </c>
      <c r="D42" s="157" t="s">
        <v>593</v>
      </c>
      <c r="E42" s="6">
        <v>16690</v>
      </c>
      <c r="F42" s="109">
        <f t="shared" si="4"/>
        <v>0</v>
      </c>
      <c r="G42" s="105">
        <v>0</v>
      </c>
    </row>
    <row r="43" spans="1:7" ht="19.5" customHeight="1" thickBot="1" x14ac:dyDescent="0.45">
      <c r="B43" s="183" t="s">
        <v>444</v>
      </c>
      <c r="C43" s="202" t="s">
        <v>12</v>
      </c>
      <c r="D43" s="158" t="s">
        <v>595</v>
      </c>
      <c r="E43" s="17">
        <v>16690</v>
      </c>
      <c r="F43" s="110">
        <f t="shared" si="4"/>
        <v>0</v>
      </c>
      <c r="G43" s="106">
        <v>0</v>
      </c>
    </row>
    <row r="44" spans="1:7" ht="19.5" customHeight="1" thickBot="1" x14ac:dyDescent="0.45"/>
    <row r="45" spans="1:7" x14ac:dyDescent="0.4">
      <c r="A45" s="8">
        <v>6</v>
      </c>
      <c r="B45" s="181" t="s">
        <v>443</v>
      </c>
      <c r="C45" s="200" t="s">
        <v>13</v>
      </c>
      <c r="D45" s="156" t="s">
        <v>584</v>
      </c>
      <c r="E45" s="13">
        <v>16690</v>
      </c>
      <c r="F45" s="108">
        <f t="shared" ref="F45:F51" si="5">SUM(G45)</f>
        <v>2</v>
      </c>
      <c r="G45" s="104">
        <v>2</v>
      </c>
    </row>
    <row r="46" spans="1:7" x14ac:dyDescent="0.4">
      <c r="B46" s="182" t="s">
        <v>443</v>
      </c>
      <c r="C46" s="201" t="s">
        <v>13</v>
      </c>
      <c r="D46" s="157" t="s">
        <v>585</v>
      </c>
      <c r="E46" s="6">
        <v>16690</v>
      </c>
      <c r="F46" s="109">
        <f t="shared" si="5"/>
        <v>0</v>
      </c>
      <c r="G46" s="105">
        <v>0</v>
      </c>
    </row>
    <row r="47" spans="1:7" x14ac:dyDescent="0.4">
      <c r="B47" s="182" t="s">
        <v>443</v>
      </c>
      <c r="C47" s="201" t="s">
        <v>13</v>
      </c>
      <c r="D47" s="157" t="s">
        <v>586</v>
      </c>
      <c r="E47" s="6">
        <v>16690</v>
      </c>
      <c r="F47" s="109">
        <f t="shared" si="5"/>
        <v>0</v>
      </c>
      <c r="G47" s="105">
        <v>0</v>
      </c>
    </row>
    <row r="48" spans="1:7" x14ac:dyDescent="0.4">
      <c r="B48" s="182" t="s">
        <v>443</v>
      </c>
      <c r="C48" s="201" t="s">
        <v>13</v>
      </c>
      <c r="D48" s="157" t="s">
        <v>592</v>
      </c>
      <c r="E48" s="6">
        <v>18790</v>
      </c>
      <c r="F48" s="109">
        <f t="shared" si="5"/>
        <v>0</v>
      </c>
      <c r="G48" s="105">
        <v>0</v>
      </c>
    </row>
    <row r="49" spans="1:7" x14ac:dyDescent="0.4">
      <c r="B49" s="182" t="s">
        <v>443</v>
      </c>
      <c r="C49" s="201" t="s">
        <v>13</v>
      </c>
      <c r="D49" s="157" t="s">
        <v>580</v>
      </c>
      <c r="E49" s="6">
        <v>18790</v>
      </c>
      <c r="F49" s="109">
        <f t="shared" si="5"/>
        <v>0</v>
      </c>
      <c r="G49" s="105">
        <v>0</v>
      </c>
    </row>
    <row r="50" spans="1:7" x14ac:dyDescent="0.4">
      <c r="B50" s="182" t="s">
        <v>443</v>
      </c>
      <c r="C50" s="201" t="s">
        <v>13</v>
      </c>
      <c r="D50" s="157" t="s">
        <v>593</v>
      </c>
      <c r="E50" s="6">
        <v>18790</v>
      </c>
      <c r="F50" s="109">
        <f t="shared" si="5"/>
        <v>0</v>
      </c>
      <c r="G50" s="105">
        <v>0</v>
      </c>
    </row>
    <row r="51" spans="1:7" ht="19.5" customHeight="1" thickBot="1" x14ac:dyDescent="0.45">
      <c r="B51" s="183" t="s">
        <v>443</v>
      </c>
      <c r="C51" s="202" t="s">
        <v>13</v>
      </c>
      <c r="D51" s="158" t="s">
        <v>595</v>
      </c>
      <c r="E51" s="17">
        <v>18790</v>
      </c>
      <c r="F51" s="110">
        <f t="shared" si="5"/>
        <v>0</v>
      </c>
      <c r="G51" s="106">
        <v>0</v>
      </c>
    </row>
    <row r="52" spans="1:7" ht="19.5" customHeight="1" thickBot="1" x14ac:dyDescent="0.45"/>
    <row r="53" spans="1:7" x14ac:dyDescent="0.4">
      <c r="A53" s="8">
        <v>7</v>
      </c>
      <c r="B53" s="181" t="s">
        <v>442</v>
      </c>
      <c r="C53" s="200" t="s">
        <v>13</v>
      </c>
      <c r="D53" s="156" t="s">
        <v>584</v>
      </c>
      <c r="E53" s="13">
        <v>16690</v>
      </c>
      <c r="F53" s="108">
        <f t="shared" ref="F53:F59" si="6">SUM(G53)</f>
        <v>2</v>
      </c>
      <c r="G53" s="104">
        <v>2</v>
      </c>
    </row>
    <row r="54" spans="1:7" x14ac:dyDescent="0.4">
      <c r="B54" s="182" t="s">
        <v>442</v>
      </c>
      <c r="C54" s="201" t="s">
        <v>13</v>
      </c>
      <c r="D54" s="157" t="s">
        <v>585</v>
      </c>
      <c r="E54" s="6">
        <v>16690</v>
      </c>
      <c r="F54" s="109">
        <f t="shared" si="6"/>
        <v>0</v>
      </c>
      <c r="G54" s="105">
        <v>0</v>
      </c>
    </row>
    <row r="55" spans="1:7" x14ac:dyDescent="0.4">
      <c r="B55" s="182" t="s">
        <v>442</v>
      </c>
      <c r="C55" s="201" t="s">
        <v>13</v>
      </c>
      <c r="D55" s="157" t="s">
        <v>586</v>
      </c>
      <c r="E55" s="6">
        <v>16690</v>
      </c>
      <c r="F55" s="109">
        <f t="shared" si="6"/>
        <v>0</v>
      </c>
      <c r="G55" s="105">
        <v>0</v>
      </c>
    </row>
    <row r="56" spans="1:7" x14ac:dyDescent="0.4">
      <c r="B56" s="182" t="s">
        <v>442</v>
      </c>
      <c r="C56" s="201" t="s">
        <v>13</v>
      </c>
      <c r="D56" s="157" t="s">
        <v>592</v>
      </c>
      <c r="E56" s="6">
        <v>18790</v>
      </c>
      <c r="F56" s="109">
        <f t="shared" si="6"/>
        <v>1</v>
      </c>
      <c r="G56" s="105">
        <v>1</v>
      </c>
    </row>
    <row r="57" spans="1:7" x14ac:dyDescent="0.4">
      <c r="B57" s="182" t="s">
        <v>442</v>
      </c>
      <c r="C57" s="201" t="s">
        <v>13</v>
      </c>
      <c r="D57" s="157" t="s">
        <v>580</v>
      </c>
      <c r="E57" s="6">
        <v>18790</v>
      </c>
      <c r="F57" s="109">
        <f t="shared" si="6"/>
        <v>1</v>
      </c>
      <c r="G57" s="105">
        <v>1</v>
      </c>
    </row>
    <row r="58" spans="1:7" x14ac:dyDescent="0.4">
      <c r="B58" s="182" t="s">
        <v>442</v>
      </c>
      <c r="C58" s="201" t="s">
        <v>13</v>
      </c>
      <c r="D58" s="157" t="s">
        <v>593</v>
      </c>
      <c r="E58" s="6">
        <v>18790</v>
      </c>
      <c r="F58" s="109">
        <f t="shared" si="6"/>
        <v>0</v>
      </c>
      <c r="G58" s="105">
        <v>0</v>
      </c>
    </row>
    <row r="59" spans="1:7" ht="19.5" customHeight="1" thickBot="1" x14ac:dyDescent="0.45">
      <c r="B59" s="183" t="s">
        <v>442</v>
      </c>
      <c r="C59" s="202" t="s">
        <v>13</v>
      </c>
      <c r="D59" s="158" t="s">
        <v>595</v>
      </c>
      <c r="E59" s="17">
        <v>18790</v>
      </c>
      <c r="F59" s="110">
        <f t="shared" si="6"/>
        <v>0</v>
      </c>
      <c r="G59" s="106">
        <v>0</v>
      </c>
    </row>
    <row r="60" spans="1:7" ht="14.25" customHeight="1" thickBot="1" x14ac:dyDescent="0.45"/>
    <row r="61" spans="1:7" ht="18.75" customHeight="1" x14ac:dyDescent="0.4">
      <c r="A61" s="8">
        <v>8</v>
      </c>
      <c r="B61" s="184" t="s">
        <v>441</v>
      </c>
      <c r="C61" s="203" t="s">
        <v>14</v>
      </c>
      <c r="D61" s="156" t="s">
        <v>584</v>
      </c>
      <c r="E61" s="142">
        <v>11790</v>
      </c>
      <c r="F61" s="108">
        <f t="shared" ref="F61:F67" si="7">SUM(G61)</f>
        <v>1</v>
      </c>
      <c r="G61" s="104">
        <v>1</v>
      </c>
    </row>
    <row r="62" spans="1:7" x14ac:dyDescent="0.4">
      <c r="B62" s="185" t="s">
        <v>441</v>
      </c>
      <c r="C62" s="204" t="s">
        <v>14</v>
      </c>
      <c r="D62" s="157" t="s">
        <v>585</v>
      </c>
      <c r="E62" s="143">
        <v>11790</v>
      </c>
      <c r="F62" s="109">
        <f t="shared" si="7"/>
        <v>0</v>
      </c>
      <c r="G62" s="105">
        <v>0</v>
      </c>
    </row>
    <row r="63" spans="1:7" x14ac:dyDescent="0.4">
      <c r="B63" s="185" t="s">
        <v>441</v>
      </c>
      <c r="C63" s="204" t="s">
        <v>14</v>
      </c>
      <c r="D63" s="157" t="s">
        <v>586</v>
      </c>
      <c r="E63" s="143">
        <v>11790</v>
      </c>
      <c r="F63" s="109">
        <f t="shared" si="7"/>
        <v>0</v>
      </c>
      <c r="G63" s="105">
        <v>0</v>
      </c>
    </row>
    <row r="64" spans="1:7" x14ac:dyDescent="0.4">
      <c r="B64" s="185" t="s">
        <v>441</v>
      </c>
      <c r="C64" s="204" t="s">
        <v>14</v>
      </c>
      <c r="D64" s="157" t="s">
        <v>592</v>
      </c>
      <c r="E64" s="143">
        <v>12990</v>
      </c>
      <c r="F64" s="109">
        <f t="shared" si="7"/>
        <v>0</v>
      </c>
      <c r="G64" s="105">
        <v>0</v>
      </c>
    </row>
    <row r="65" spans="1:7" x14ac:dyDescent="0.4">
      <c r="B65" s="185" t="s">
        <v>441</v>
      </c>
      <c r="C65" s="204" t="s">
        <v>14</v>
      </c>
      <c r="D65" s="157" t="s">
        <v>580</v>
      </c>
      <c r="E65" s="143">
        <v>12990</v>
      </c>
      <c r="F65" s="109">
        <f t="shared" si="7"/>
        <v>0</v>
      </c>
      <c r="G65" s="105">
        <v>0</v>
      </c>
    </row>
    <row r="66" spans="1:7" x14ac:dyDescent="0.4">
      <c r="B66" s="185" t="s">
        <v>441</v>
      </c>
      <c r="C66" s="204" t="s">
        <v>14</v>
      </c>
      <c r="D66" s="157" t="s">
        <v>593</v>
      </c>
      <c r="E66" s="143">
        <v>12990</v>
      </c>
      <c r="F66" s="109">
        <f t="shared" si="7"/>
        <v>0</v>
      </c>
      <c r="G66" s="105">
        <v>0</v>
      </c>
    </row>
    <row r="67" spans="1:7" ht="19.5" customHeight="1" thickBot="1" x14ac:dyDescent="0.45">
      <c r="B67" s="186" t="s">
        <v>441</v>
      </c>
      <c r="C67" s="205" t="s">
        <v>14</v>
      </c>
      <c r="D67" s="158" t="s">
        <v>595</v>
      </c>
      <c r="E67" s="144">
        <v>12990</v>
      </c>
      <c r="F67" s="110">
        <f t="shared" si="7"/>
        <v>0</v>
      </c>
      <c r="G67" s="106">
        <v>0</v>
      </c>
    </row>
    <row r="68" spans="1:7" ht="19.5" customHeight="1" thickBot="1" x14ac:dyDescent="0.45">
      <c r="B68" s="161"/>
      <c r="C68" s="204"/>
      <c r="D68" s="161"/>
      <c r="E68" s="145"/>
    </row>
    <row r="69" spans="1:7" x14ac:dyDescent="0.4">
      <c r="A69" s="8">
        <v>9</v>
      </c>
      <c r="B69" s="184" t="s">
        <v>440</v>
      </c>
      <c r="C69" s="203" t="s">
        <v>15</v>
      </c>
      <c r="D69" s="156" t="s">
        <v>584</v>
      </c>
      <c r="E69" s="142">
        <v>14590</v>
      </c>
      <c r="F69" s="108">
        <f t="shared" ref="F69:F75" si="8">SUM(G69)</f>
        <v>0</v>
      </c>
      <c r="G69" s="104">
        <v>0</v>
      </c>
    </row>
    <row r="70" spans="1:7" x14ac:dyDescent="0.4">
      <c r="B70" s="185" t="s">
        <v>440</v>
      </c>
      <c r="C70" s="204" t="s">
        <v>15</v>
      </c>
      <c r="D70" s="157" t="s">
        <v>585</v>
      </c>
      <c r="E70" s="143">
        <v>14590</v>
      </c>
      <c r="F70" s="109">
        <f t="shared" si="8"/>
        <v>0</v>
      </c>
      <c r="G70" s="105">
        <v>0</v>
      </c>
    </row>
    <row r="71" spans="1:7" x14ac:dyDescent="0.4">
      <c r="B71" s="185" t="s">
        <v>440</v>
      </c>
      <c r="C71" s="204" t="s">
        <v>15</v>
      </c>
      <c r="D71" s="157" t="s">
        <v>586</v>
      </c>
      <c r="E71" s="143">
        <v>14590</v>
      </c>
      <c r="F71" s="109">
        <f t="shared" si="8"/>
        <v>0</v>
      </c>
      <c r="G71" s="105">
        <v>0</v>
      </c>
    </row>
    <row r="72" spans="1:7" x14ac:dyDescent="0.4">
      <c r="B72" s="185" t="s">
        <v>440</v>
      </c>
      <c r="C72" s="204" t="s">
        <v>15</v>
      </c>
      <c r="D72" s="157" t="s">
        <v>592</v>
      </c>
      <c r="E72" s="143">
        <v>15690</v>
      </c>
      <c r="F72" s="109">
        <f t="shared" si="8"/>
        <v>0</v>
      </c>
      <c r="G72" s="105">
        <v>0</v>
      </c>
    </row>
    <row r="73" spans="1:7" x14ac:dyDescent="0.4">
      <c r="B73" s="185" t="s">
        <v>440</v>
      </c>
      <c r="C73" s="204" t="s">
        <v>15</v>
      </c>
      <c r="D73" s="157" t="s">
        <v>580</v>
      </c>
      <c r="E73" s="143">
        <v>15690</v>
      </c>
      <c r="F73" s="109">
        <f t="shared" si="8"/>
        <v>0</v>
      </c>
      <c r="G73" s="105">
        <v>0</v>
      </c>
    </row>
    <row r="74" spans="1:7" x14ac:dyDescent="0.4">
      <c r="B74" s="185" t="s">
        <v>440</v>
      </c>
      <c r="C74" s="204" t="s">
        <v>15</v>
      </c>
      <c r="D74" s="157" t="s">
        <v>593</v>
      </c>
      <c r="E74" s="143">
        <v>15690</v>
      </c>
      <c r="F74" s="109">
        <f t="shared" si="8"/>
        <v>0</v>
      </c>
      <c r="G74" s="105">
        <v>0</v>
      </c>
    </row>
    <row r="75" spans="1:7" ht="19.5" customHeight="1" thickBot="1" x14ac:dyDescent="0.45">
      <c r="B75" s="186" t="s">
        <v>440</v>
      </c>
      <c r="C75" s="205" t="s">
        <v>15</v>
      </c>
      <c r="D75" s="158" t="s">
        <v>595</v>
      </c>
      <c r="E75" s="144">
        <v>15690</v>
      </c>
      <c r="F75" s="110">
        <f t="shared" si="8"/>
        <v>0</v>
      </c>
      <c r="G75" s="106">
        <v>0</v>
      </c>
    </row>
    <row r="76" spans="1:7" ht="19.5" customHeight="1" thickBot="1" x14ac:dyDescent="0.45">
      <c r="B76" s="161"/>
      <c r="C76" s="204"/>
      <c r="D76" s="161"/>
      <c r="E76" s="145"/>
    </row>
    <row r="77" spans="1:7" x14ac:dyDescent="0.4">
      <c r="A77" s="8">
        <v>10</v>
      </c>
      <c r="B77" s="187" t="s">
        <v>439</v>
      </c>
      <c r="C77" s="206" t="s">
        <v>12</v>
      </c>
      <c r="D77" s="156" t="s">
        <v>584</v>
      </c>
      <c r="E77" s="142">
        <v>15990</v>
      </c>
      <c r="F77" s="108">
        <f t="shared" ref="F77:F83" si="9">SUM(G77)</f>
        <v>0</v>
      </c>
      <c r="G77" s="108">
        <v>0</v>
      </c>
    </row>
    <row r="78" spans="1:7" x14ac:dyDescent="0.4">
      <c r="B78" s="185" t="s">
        <v>439</v>
      </c>
      <c r="C78" s="207" t="s">
        <v>12</v>
      </c>
      <c r="D78" s="157" t="s">
        <v>585</v>
      </c>
      <c r="E78" s="143">
        <v>15990</v>
      </c>
      <c r="F78" s="109">
        <f t="shared" si="9"/>
        <v>0</v>
      </c>
      <c r="G78" s="109">
        <v>0</v>
      </c>
    </row>
    <row r="79" spans="1:7" x14ac:dyDescent="0.4">
      <c r="B79" s="185" t="s">
        <v>439</v>
      </c>
      <c r="C79" s="207" t="s">
        <v>12</v>
      </c>
      <c r="D79" s="157" t="s">
        <v>586</v>
      </c>
      <c r="E79" s="143">
        <v>15990</v>
      </c>
      <c r="F79" s="109">
        <f t="shared" si="9"/>
        <v>0</v>
      </c>
      <c r="G79" s="109">
        <v>0</v>
      </c>
    </row>
    <row r="80" spans="1:7" x14ac:dyDescent="0.4">
      <c r="B80" s="185" t="s">
        <v>439</v>
      </c>
      <c r="C80" s="207" t="s">
        <v>12</v>
      </c>
      <c r="D80" s="157" t="s">
        <v>592</v>
      </c>
      <c r="E80" s="143">
        <v>18190</v>
      </c>
      <c r="F80" s="109">
        <f t="shared" si="9"/>
        <v>0</v>
      </c>
      <c r="G80" s="109">
        <v>0</v>
      </c>
    </row>
    <row r="81" spans="1:7" x14ac:dyDescent="0.4">
      <c r="B81" s="185" t="s">
        <v>439</v>
      </c>
      <c r="C81" s="207" t="s">
        <v>12</v>
      </c>
      <c r="D81" s="157" t="s">
        <v>580</v>
      </c>
      <c r="E81" s="143">
        <v>18190</v>
      </c>
      <c r="F81" s="109">
        <f t="shared" si="9"/>
        <v>0</v>
      </c>
      <c r="G81" s="109">
        <v>0</v>
      </c>
    </row>
    <row r="82" spans="1:7" x14ac:dyDescent="0.4">
      <c r="B82" s="185" t="s">
        <v>439</v>
      </c>
      <c r="C82" s="207" t="s">
        <v>12</v>
      </c>
      <c r="D82" s="157" t="s">
        <v>593</v>
      </c>
      <c r="E82" s="143">
        <v>18190</v>
      </c>
      <c r="F82" s="109">
        <f t="shared" si="9"/>
        <v>0</v>
      </c>
      <c r="G82" s="109">
        <v>0</v>
      </c>
    </row>
    <row r="83" spans="1:7" ht="19.5" customHeight="1" thickBot="1" x14ac:dyDescent="0.45">
      <c r="B83" s="188" t="s">
        <v>439</v>
      </c>
      <c r="C83" s="208" t="s">
        <v>12</v>
      </c>
      <c r="D83" s="158" t="s">
        <v>595</v>
      </c>
      <c r="E83" s="144">
        <v>18190</v>
      </c>
      <c r="F83" s="110">
        <f t="shared" si="9"/>
        <v>0</v>
      </c>
      <c r="G83" s="110">
        <v>0</v>
      </c>
    </row>
    <row r="84" spans="1:7" ht="19.5" customHeight="1" thickBot="1" x14ac:dyDescent="0.45">
      <c r="B84" s="161"/>
      <c r="C84" s="204"/>
      <c r="D84" s="161"/>
      <c r="E84" s="145"/>
    </row>
    <row r="85" spans="1:7" x14ac:dyDescent="0.4">
      <c r="A85" s="8">
        <v>11</v>
      </c>
      <c r="B85" s="184" t="s">
        <v>438</v>
      </c>
      <c r="C85" s="203" t="s">
        <v>12</v>
      </c>
      <c r="D85" s="156" t="s">
        <v>584</v>
      </c>
      <c r="E85" s="142">
        <v>15390</v>
      </c>
      <c r="F85" s="108">
        <f t="shared" ref="F85:F91" si="10">SUM(G85)</f>
        <v>2</v>
      </c>
      <c r="G85" s="104">
        <v>2</v>
      </c>
    </row>
    <row r="86" spans="1:7" x14ac:dyDescent="0.4">
      <c r="B86" s="185" t="s">
        <v>438</v>
      </c>
      <c r="C86" s="204" t="s">
        <v>12</v>
      </c>
      <c r="D86" s="157" t="s">
        <v>585</v>
      </c>
      <c r="E86" s="143">
        <v>15390</v>
      </c>
      <c r="F86" s="109">
        <f t="shared" si="10"/>
        <v>0</v>
      </c>
      <c r="G86" s="105">
        <v>0</v>
      </c>
    </row>
    <row r="87" spans="1:7" x14ac:dyDescent="0.4">
      <c r="B87" s="185" t="s">
        <v>438</v>
      </c>
      <c r="C87" s="204" t="s">
        <v>12</v>
      </c>
      <c r="D87" s="157" t="s">
        <v>586</v>
      </c>
      <c r="E87" s="143">
        <v>15390</v>
      </c>
      <c r="F87" s="109">
        <f t="shared" si="10"/>
        <v>0</v>
      </c>
      <c r="G87" s="105">
        <v>0</v>
      </c>
    </row>
    <row r="88" spans="1:7" x14ac:dyDescent="0.4">
      <c r="B88" s="185" t="s">
        <v>438</v>
      </c>
      <c r="C88" s="204" t="s">
        <v>12</v>
      </c>
      <c r="D88" s="157" t="s">
        <v>592</v>
      </c>
      <c r="E88" s="143">
        <v>19190</v>
      </c>
      <c r="F88" s="109">
        <f t="shared" si="10"/>
        <v>0</v>
      </c>
      <c r="G88" s="105">
        <v>0</v>
      </c>
    </row>
    <row r="89" spans="1:7" x14ac:dyDescent="0.4">
      <c r="B89" s="185" t="s">
        <v>438</v>
      </c>
      <c r="C89" s="204" t="s">
        <v>12</v>
      </c>
      <c r="D89" s="157" t="s">
        <v>580</v>
      </c>
      <c r="E89" s="143">
        <v>19190</v>
      </c>
      <c r="F89" s="109">
        <f t="shared" si="10"/>
        <v>1</v>
      </c>
      <c r="G89" s="105">
        <v>1</v>
      </c>
    </row>
    <row r="90" spans="1:7" x14ac:dyDescent="0.4">
      <c r="B90" s="185" t="s">
        <v>438</v>
      </c>
      <c r="C90" s="204" t="s">
        <v>12</v>
      </c>
      <c r="D90" s="157" t="s">
        <v>593</v>
      </c>
      <c r="E90" s="143">
        <v>19190</v>
      </c>
      <c r="F90" s="109">
        <f t="shared" si="10"/>
        <v>0</v>
      </c>
      <c r="G90" s="105">
        <v>0</v>
      </c>
    </row>
    <row r="91" spans="1:7" ht="19.5" customHeight="1" thickBot="1" x14ac:dyDescent="0.45">
      <c r="B91" s="186" t="s">
        <v>438</v>
      </c>
      <c r="C91" s="205" t="s">
        <v>12</v>
      </c>
      <c r="D91" s="158" t="s">
        <v>595</v>
      </c>
      <c r="E91" s="144">
        <v>19190</v>
      </c>
      <c r="F91" s="110">
        <f t="shared" si="10"/>
        <v>0</v>
      </c>
      <c r="G91" s="106">
        <v>0</v>
      </c>
    </row>
    <row r="92" spans="1:7" ht="19.5" customHeight="1" thickBot="1" x14ac:dyDescent="0.45">
      <c r="B92" s="161"/>
      <c r="C92" s="204"/>
      <c r="D92" s="161"/>
      <c r="E92" s="145"/>
    </row>
    <row r="93" spans="1:7" x14ac:dyDescent="0.4">
      <c r="A93" s="8">
        <v>12</v>
      </c>
      <c r="B93" s="184" t="s">
        <v>437</v>
      </c>
      <c r="C93" s="203" t="s">
        <v>16</v>
      </c>
      <c r="D93" s="156" t="s">
        <v>584</v>
      </c>
      <c r="E93" s="142">
        <v>17790</v>
      </c>
      <c r="F93" s="108">
        <f t="shared" ref="F93:F99" si="11">SUM(G93)</f>
        <v>0</v>
      </c>
      <c r="G93" s="104">
        <v>0</v>
      </c>
    </row>
    <row r="94" spans="1:7" x14ac:dyDescent="0.4">
      <c r="B94" s="185" t="s">
        <v>437</v>
      </c>
      <c r="C94" s="204" t="s">
        <v>16</v>
      </c>
      <c r="D94" s="157" t="s">
        <v>585</v>
      </c>
      <c r="E94" s="143">
        <v>17790</v>
      </c>
      <c r="F94" s="109">
        <f t="shared" si="11"/>
        <v>0</v>
      </c>
      <c r="G94" s="105">
        <v>0</v>
      </c>
    </row>
    <row r="95" spans="1:7" x14ac:dyDescent="0.4">
      <c r="B95" s="185" t="s">
        <v>437</v>
      </c>
      <c r="C95" s="204" t="s">
        <v>16</v>
      </c>
      <c r="D95" s="157" t="s">
        <v>586</v>
      </c>
      <c r="E95" s="143">
        <v>17790</v>
      </c>
      <c r="F95" s="109">
        <f t="shared" si="11"/>
        <v>0</v>
      </c>
      <c r="G95" s="105">
        <v>0</v>
      </c>
    </row>
    <row r="96" spans="1:7" x14ac:dyDescent="0.4">
      <c r="B96" s="185" t="s">
        <v>437</v>
      </c>
      <c r="C96" s="204" t="s">
        <v>16</v>
      </c>
      <c r="D96" s="157" t="s">
        <v>592</v>
      </c>
      <c r="E96" s="143">
        <v>18790</v>
      </c>
      <c r="F96" s="109">
        <f t="shared" si="11"/>
        <v>0</v>
      </c>
      <c r="G96" s="105">
        <v>0</v>
      </c>
    </row>
    <row r="97" spans="1:7" x14ac:dyDescent="0.4">
      <c r="B97" s="185" t="s">
        <v>437</v>
      </c>
      <c r="C97" s="204" t="s">
        <v>16</v>
      </c>
      <c r="D97" s="157" t="s">
        <v>580</v>
      </c>
      <c r="E97" s="143">
        <v>18790</v>
      </c>
      <c r="F97" s="109">
        <f t="shared" si="11"/>
        <v>0</v>
      </c>
      <c r="G97" s="105">
        <v>0</v>
      </c>
    </row>
    <row r="98" spans="1:7" x14ac:dyDescent="0.4">
      <c r="B98" s="185" t="s">
        <v>437</v>
      </c>
      <c r="C98" s="204" t="s">
        <v>16</v>
      </c>
      <c r="D98" s="157" t="s">
        <v>593</v>
      </c>
      <c r="E98" s="143">
        <v>18790</v>
      </c>
      <c r="F98" s="109">
        <f t="shared" si="11"/>
        <v>0</v>
      </c>
      <c r="G98" s="105">
        <v>0</v>
      </c>
    </row>
    <row r="99" spans="1:7" ht="19.5" customHeight="1" thickBot="1" x14ac:dyDescent="0.45">
      <c r="B99" s="186" t="s">
        <v>437</v>
      </c>
      <c r="C99" s="205" t="s">
        <v>16</v>
      </c>
      <c r="D99" s="158" t="s">
        <v>595</v>
      </c>
      <c r="E99" s="144">
        <v>18790</v>
      </c>
      <c r="F99" s="110">
        <f t="shared" si="11"/>
        <v>0</v>
      </c>
      <c r="G99" s="106">
        <v>0</v>
      </c>
    </row>
    <row r="100" spans="1:7" ht="19.5" customHeight="1" thickBot="1" x14ac:dyDescent="0.45">
      <c r="B100" s="161"/>
      <c r="C100" s="204"/>
      <c r="D100" s="161"/>
      <c r="E100" s="145"/>
    </row>
    <row r="101" spans="1:7" x14ac:dyDescent="0.4">
      <c r="A101" s="8">
        <v>13</v>
      </c>
      <c r="B101" s="184" t="s">
        <v>319</v>
      </c>
      <c r="C101" s="203" t="s">
        <v>17</v>
      </c>
      <c r="D101" s="162" t="s">
        <v>18</v>
      </c>
      <c r="E101" s="142">
        <v>45500</v>
      </c>
      <c r="F101" s="108">
        <f>SUM(G101)</f>
        <v>0</v>
      </c>
      <c r="G101" s="104">
        <v>0</v>
      </c>
    </row>
    <row r="102" spans="1:7" x14ac:dyDescent="0.4">
      <c r="B102" s="185" t="s">
        <v>319</v>
      </c>
      <c r="C102" s="204" t="s">
        <v>17</v>
      </c>
      <c r="D102" s="163" t="s">
        <v>19</v>
      </c>
      <c r="E102" s="143">
        <v>45500</v>
      </c>
      <c r="F102" s="109">
        <f>SUM(G102)</f>
        <v>0</v>
      </c>
      <c r="G102" s="105">
        <v>0</v>
      </c>
    </row>
    <row r="103" spans="1:7" x14ac:dyDescent="0.4">
      <c r="B103" s="185" t="s">
        <v>319</v>
      </c>
      <c r="C103" s="204" t="s">
        <v>17</v>
      </c>
      <c r="D103" s="163" t="s">
        <v>20</v>
      </c>
      <c r="E103" s="143">
        <v>42900</v>
      </c>
      <c r="F103" s="109">
        <f>SUM(G103)</f>
        <v>0</v>
      </c>
      <c r="G103" s="105">
        <v>0</v>
      </c>
    </row>
    <row r="104" spans="1:7" x14ac:dyDescent="0.4">
      <c r="B104" s="185" t="s">
        <v>319</v>
      </c>
      <c r="C104" s="204" t="s">
        <v>17</v>
      </c>
      <c r="D104" s="163" t="s">
        <v>21</v>
      </c>
      <c r="E104" s="143">
        <v>45500</v>
      </c>
      <c r="F104" s="109">
        <f>SUM(G104)</f>
        <v>0</v>
      </c>
      <c r="G104" s="105">
        <v>0</v>
      </c>
    </row>
    <row r="105" spans="1:7" ht="19.5" customHeight="1" thickBot="1" x14ac:dyDescent="0.45">
      <c r="B105" s="186" t="s">
        <v>319</v>
      </c>
      <c r="C105" s="205" t="s">
        <v>17</v>
      </c>
      <c r="D105" s="164" t="s">
        <v>22</v>
      </c>
      <c r="E105" s="144">
        <v>42900</v>
      </c>
      <c r="F105" s="110">
        <f>SUM(G105)</f>
        <v>0</v>
      </c>
      <c r="G105" s="106">
        <v>0</v>
      </c>
    </row>
    <row r="106" spans="1:7" ht="19.5" customHeight="1" thickBot="1" x14ac:dyDescent="0.45">
      <c r="B106" s="161"/>
      <c r="C106" s="204"/>
      <c r="D106" s="161"/>
      <c r="E106" s="145"/>
    </row>
    <row r="107" spans="1:7" x14ac:dyDescent="0.4">
      <c r="A107" s="8">
        <v>14</v>
      </c>
      <c r="B107" s="184" t="s">
        <v>320</v>
      </c>
      <c r="C107" s="203" t="s">
        <v>10</v>
      </c>
      <c r="D107" s="162" t="s">
        <v>18</v>
      </c>
      <c r="E107" s="142">
        <v>47500</v>
      </c>
      <c r="F107" s="108">
        <f>SUM(G107)</f>
        <v>0</v>
      </c>
      <c r="G107" s="104">
        <v>0</v>
      </c>
    </row>
    <row r="108" spans="1:7" x14ac:dyDescent="0.4">
      <c r="B108" s="185" t="s">
        <v>320</v>
      </c>
      <c r="C108" s="204" t="s">
        <v>10</v>
      </c>
      <c r="D108" s="163" t="s">
        <v>19</v>
      </c>
      <c r="E108" s="143">
        <v>47800</v>
      </c>
      <c r="F108" s="109">
        <f>SUM(G108)</f>
        <v>0</v>
      </c>
      <c r="G108" s="105">
        <v>0</v>
      </c>
    </row>
    <row r="109" spans="1:7" x14ac:dyDescent="0.4">
      <c r="B109" s="185" t="s">
        <v>320</v>
      </c>
      <c r="C109" s="204" t="s">
        <v>10</v>
      </c>
      <c r="D109" s="163" t="s">
        <v>20</v>
      </c>
      <c r="E109" s="6">
        <v>45100</v>
      </c>
      <c r="F109" s="109">
        <f t="shared" ref="F109:F111" si="12">SUM(G109)</f>
        <v>0</v>
      </c>
      <c r="G109" s="105">
        <v>0</v>
      </c>
    </row>
    <row r="110" spans="1:7" x14ac:dyDescent="0.4">
      <c r="B110" s="185" t="s">
        <v>320</v>
      </c>
      <c r="C110" s="204" t="s">
        <v>10</v>
      </c>
      <c r="D110" s="163" t="s">
        <v>21</v>
      </c>
      <c r="E110" s="6">
        <v>47800</v>
      </c>
      <c r="F110" s="109">
        <f t="shared" si="12"/>
        <v>0</v>
      </c>
      <c r="G110" s="105">
        <v>0</v>
      </c>
    </row>
    <row r="111" spans="1:7" ht="19.5" customHeight="1" thickBot="1" x14ac:dyDescent="0.45">
      <c r="B111" s="186" t="s">
        <v>320</v>
      </c>
      <c r="C111" s="205" t="s">
        <v>10</v>
      </c>
      <c r="D111" s="164" t="s">
        <v>22</v>
      </c>
      <c r="E111" s="17">
        <v>45100</v>
      </c>
      <c r="F111" s="110">
        <f t="shared" si="12"/>
        <v>0</v>
      </c>
      <c r="G111" s="106">
        <v>0</v>
      </c>
    </row>
    <row r="112" spans="1:7" ht="19.5" customHeight="1" thickBot="1" x14ac:dyDescent="0.45">
      <c r="B112" s="161"/>
      <c r="C112" s="204"/>
      <c r="D112" s="161"/>
    </row>
    <row r="113" spans="1:7" x14ac:dyDescent="0.4">
      <c r="A113" s="8">
        <v>15</v>
      </c>
      <c r="B113" s="184" t="s">
        <v>321</v>
      </c>
      <c r="C113" s="203" t="s">
        <v>11</v>
      </c>
      <c r="D113" s="162" t="s">
        <v>18</v>
      </c>
      <c r="E113" s="142">
        <v>50100</v>
      </c>
      <c r="F113" s="108">
        <f>SUM(G113)</f>
        <v>0</v>
      </c>
      <c r="G113" s="104">
        <v>0</v>
      </c>
    </row>
    <row r="114" spans="1:7" x14ac:dyDescent="0.4">
      <c r="B114" s="185" t="s">
        <v>321</v>
      </c>
      <c r="C114" s="204" t="s">
        <v>11</v>
      </c>
      <c r="D114" s="163" t="s">
        <v>19</v>
      </c>
      <c r="E114" s="143">
        <v>50100</v>
      </c>
      <c r="F114" s="109">
        <f>SUM(G114)</f>
        <v>0</v>
      </c>
      <c r="G114" s="105">
        <v>0</v>
      </c>
    </row>
    <row r="115" spans="1:7" x14ac:dyDescent="0.4">
      <c r="B115" s="185" t="s">
        <v>321</v>
      </c>
      <c r="C115" s="204" t="s">
        <v>11</v>
      </c>
      <c r="D115" s="163" t="s">
        <v>20</v>
      </c>
      <c r="E115" s="143">
        <v>47500</v>
      </c>
      <c r="F115" s="109">
        <f t="shared" ref="F115:F117" si="13">SUM(G115)</f>
        <v>0</v>
      </c>
      <c r="G115" s="105">
        <v>0</v>
      </c>
    </row>
    <row r="116" spans="1:7" x14ac:dyDescent="0.4">
      <c r="B116" s="185" t="s">
        <v>321</v>
      </c>
      <c r="C116" s="204" t="s">
        <v>11</v>
      </c>
      <c r="D116" s="163" t="s">
        <v>21</v>
      </c>
      <c r="E116" s="143">
        <v>50100</v>
      </c>
      <c r="F116" s="109">
        <f t="shared" si="13"/>
        <v>0</v>
      </c>
      <c r="G116" s="105">
        <v>0</v>
      </c>
    </row>
    <row r="117" spans="1:7" ht="19.5" customHeight="1" thickBot="1" x14ac:dyDescent="0.45">
      <c r="B117" s="186" t="s">
        <v>321</v>
      </c>
      <c r="C117" s="205" t="s">
        <v>11</v>
      </c>
      <c r="D117" s="164" t="s">
        <v>22</v>
      </c>
      <c r="E117" s="144">
        <v>47500</v>
      </c>
      <c r="F117" s="110">
        <f t="shared" si="13"/>
        <v>0</v>
      </c>
      <c r="G117" s="106">
        <v>0</v>
      </c>
    </row>
    <row r="118" spans="1:7" ht="19.5" customHeight="1" thickBot="1" x14ac:dyDescent="0.45">
      <c r="B118" s="161"/>
      <c r="C118" s="204"/>
      <c r="D118" s="161"/>
      <c r="E118" s="145"/>
    </row>
    <row r="119" spans="1:7" x14ac:dyDescent="0.4">
      <c r="A119" s="8">
        <v>16</v>
      </c>
      <c r="B119" s="184" t="s">
        <v>436</v>
      </c>
      <c r="C119" s="203" t="s">
        <v>23</v>
      </c>
      <c r="D119" s="162" t="s">
        <v>18</v>
      </c>
      <c r="E119" s="142">
        <v>36300</v>
      </c>
      <c r="F119" s="108">
        <f>SUM(G119)</f>
        <v>0</v>
      </c>
      <c r="G119" s="104"/>
    </row>
    <row r="120" spans="1:7" x14ac:dyDescent="0.4">
      <c r="B120" s="185" t="s">
        <v>436</v>
      </c>
      <c r="C120" s="204" t="s">
        <v>23</v>
      </c>
      <c r="D120" s="163" t="s">
        <v>19</v>
      </c>
      <c r="E120" s="143">
        <v>36300</v>
      </c>
      <c r="F120" s="109">
        <f>SUM(G120)</f>
        <v>0</v>
      </c>
      <c r="G120" s="105"/>
    </row>
    <row r="121" spans="1:7" x14ac:dyDescent="0.4">
      <c r="B121" s="185" t="s">
        <v>436</v>
      </c>
      <c r="C121" s="204" t="s">
        <v>23</v>
      </c>
      <c r="D121" s="163" t="s">
        <v>20</v>
      </c>
      <c r="E121" s="143">
        <v>33800</v>
      </c>
      <c r="F121" s="109">
        <f t="shared" ref="F121:F123" si="14">SUM(G121)</f>
        <v>0</v>
      </c>
      <c r="G121" s="105"/>
    </row>
    <row r="122" spans="1:7" x14ac:dyDescent="0.4">
      <c r="B122" s="185" t="s">
        <v>436</v>
      </c>
      <c r="C122" s="204" t="s">
        <v>23</v>
      </c>
      <c r="D122" s="163" t="s">
        <v>21</v>
      </c>
      <c r="E122" s="143">
        <v>36300</v>
      </c>
      <c r="F122" s="109">
        <f t="shared" si="14"/>
        <v>0</v>
      </c>
      <c r="G122" s="105"/>
    </row>
    <row r="123" spans="1:7" ht="19.5" customHeight="1" thickBot="1" x14ac:dyDescent="0.45">
      <c r="B123" s="186" t="s">
        <v>436</v>
      </c>
      <c r="C123" s="205" t="s">
        <v>23</v>
      </c>
      <c r="D123" s="164" t="s">
        <v>22</v>
      </c>
      <c r="E123" s="144">
        <v>33800</v>
      </c>
      <c r="F123" s="110">
        <f t="shared" si="14"/>
        <v>0</v>
      </c>
      <c r="G123" s="106"/>
    </row>
    <row r="124" spans="1:7" ht="19.5" customHeight="1" thickBot="1" x14ac:dyDescent="0.45">
      <c r="B124" s="161"/>
      <c r="C124" s="204"/>
      <c r="D124" s="161"/>
      <c r="E124" s="145"/>
    </row>
    <row r="125" spans="1:7" x14ac:dyDescent="0.4">
      <c r="A125" s="8">
        <v>17</v>
      </c>
      <c r="B125" s="184" t="s">
        <v>435</v>
      </c>
      <c r="C125" s="203" t="s">
        <v>10</v>
      </c>
      <c r="D125" s="162" t="s">
        <v>18</v>
      </c>
      <c r="E125" s="142">
        <v>38100</v>
      </c>
      <c r="F125" s="108">
        <f>SUM(G125)</f>
        <v>0</v>
      </c>
      <c r="G125" s="104"/>
    </row>
    <row r="126" spans="1:7" x14ac:dyDescent="0.4">
      <c r="B126" s="185" t="s">
        <v>435</v>
      </c>
      <c r="C126" s="204" t="s">
        <v>10</v>
      </c>
      <c r="D126" s="163" t="s">
        <v>19</v>
      </c>
      <c r="E126" s="143">
        <v>38100</v>
      </c>
      <c r="F126" s="109">
        <f>SUM(G126)</f>
        <v>0</v>
      </c>
      <c r="G126" s="105"/>
    </row>
    <row r="127" spans="1:7" x14ac:dyDescent="0.4">
      <c r="B127" s="185" t="s">
        <v>435</v>
      </c>
      <c r="C127" s="204" t="s">
        <v>10</v>
      </c>
      <c r="D127" s="163" t="s">
        <v>20</v>
      </c>
      <c r="E127" s="143">
        <v>35600</v>
      </c>
      <c r="F127" s="109">
        <f t="shared" ref="F127:F129" si="15">SUM(G127)</f>
        <v>0</v>
      </c>
      <c r="G127" s="105"/>
    </row>
    <row r="128" spans="1:7" x14ac:dyDescent="0.4">
      <c r="B128" s="185" t="s">
        <v>435</v>
      </c>
      <c r="C128" s="204" t="s">
        <v>10</v>
      </c>
      <c r="D128" s="163" t="s">
        <v>21</v>
      </c>
      <c r="E128" s="143">
        <v>38100</v>
      </c>
      <c r="F128" s="109">
        <f t="shared" si="15"/>
        <v>0</v>
      </c>
      <c r="G128" s="105"/>
    </row>
    <row r="129" spans="1:7" ht="19.5" customHeight="1" thickBot="1" x14ac:dyDescent="0.45">
      <c r="B129" s="186" t="s">
        <v>435</v>
      </c>
      <c r="C129" s="205" t="s">
        <v>10</v>
      </c>
      <c r="D129" s="164" t="s">
        <v>22</v>
      </c>
      <c r="E129" s="144">
        <v>35600</v>
      </c>
      <c r="F129" s="110">
        <f t="shared" si="15"/>
        <v>0</v>
      </c>
      <c r="G129" s="106"/>
    </row>
    <row r="130" spans="1:7" ht="19.5" customHeight="1" thickBot="1" x14ac:dyDescent="0.45">
      <c r="B130" s="161"/>
      <c r="C130" s="204"/>
      <c r="D130" s="161"/>
      <c r="E130" s="145"/>
    </row>
    <row r="131" spans="1:7" x14ac:dyDescent="0.4">
      <c r="A131" s="8">
        <v>18</v>
      </c>
      <c r="B131" s="184" t="s">
        <v>434</v>
      </c>
      <c r="C131" s="203" t="s">
        <v>11</v>
      </c>
      <c r="D131" s="162" t="s">
        <v>18</v>
      </c>
      <c r="E131" s="142">
        <v>40400</v>
      </c>
      <c r="F131" s="108">
        <f>SUM(G131)</f>
        <v>0</v>
      </c>
      <c r="G131" s="104"/>
    </row>
    <row r="132" spans="1:7" x14ac:dyDescent="0.4">
      <c r="B132" s="185" t="s">
        <v>434</v>
      </c>
      <c r="C132" s="204" t="s">
        <v>11</v>
      </c>
      <c r="D132" s="163" t="s">
        <v>19</v>
      </c>
      <c r="E132" s="143">
        <v>40400</v>
      </c>
      <c r="F132" s="109">
        <f>SUM(G132)</f>
        <v>0</v>
      </c>
      <c r="G132" s="105"/>
    </row>
    <row r="133" spans="1:7" x14ac:dyDescent="0.4">
      <c r="B133" s="185" t="s">
        <v>434</v>
      </c>
      <c r="C133" s="204" t="s">
        <v>11</v>
      </c>
      <c r="D133" s="163" t="s">
        <v>20</v>
      </c>
      <c r="E133" s="143">
        <v>38000</v>
      </c>
      <c r="F133" s="109">
        <f t="shared" ref="F133:F135" si="16">SUM(G133)</f>
        <v>0</v>
      </c>
      <c r="G133" s="105"/>
    </row>
    <row r="134" spans="1:7" x14ac:dyDescent="0.4">
      <c r="B134" s="185" t="s">
        <v>434</v>
      </c>
      <c r="C134" s="204" t="s">
        <v>11</v>
      </c>
      <c r="D134" s="163" t="s">
        <v>21</v>
      </c>
      <c r="E134" s="143">
        <v>40400</v>
      </c>
      <c r="F134" s="109">
        <f t="shared" si="16"/>
        <v>0</v>
      </c>
      <c r="G134" s="105"/>
    </row>
    <row r="135" spans="1:7" ht="19.5" customHeight="1" thickBot="1" x14ac:dyDescent="0.45">
      <c r="B135" s="186" t="s">
        <v>434</v>
      </c>
      <c r="C135" s="205" t="s">
        <v>11</v>
      </c>
      <c r="D135" s="164" t="s">
        <v>22</v>
      </c>
      <c r="E135" s="144">
        <v>38000</v>
      </c>
      <c r="F135" s="110">
        <f t="shared" si="16"/>
        <v>0</v>
      </c>
      <c r="G135" s="106"/>
    </row>
    <row r="136" spans="1:7" ht="19.5" customHeight="1" thickBot="1" x14ac:dyDescent="0.45">
      <c r="B136" s="161"/>
      <c r="C136" s="204"/>
      <c r="D136" s="161"/>
      <c r="E136" s="145"/>
    </row>
    <row r="137" spans="1:7" x14ac:dyDescent="0.4">
      <c r="A137" s="8">
        <v>19</v>
      </c>
      <c r="B137" s="184" t="s">
        <v>286</v>
      </c>
      <c r="C137" s="203" t="s">
        <v>24</v>
      </c>
      <c r="D137" s="162" t="s">
        <v>25</v>
      </c>
      <c r="E137" s="142">
        <v>12590</v>
      </c>
      <c r="F137" s="108">
        <f t="shared" ref="F137:F142" si="17">SUM(G137)</f>
        <v>0</v>
      </c>
      <c r="G137" s="104">
        <v>0</v>
      </c>
    </row>
    <row r="138" spans="1:7" x14ac:dyDescent="0.4">
      <c r="B138" s="185" t="s">
        <v>286</v>
      </c>
      <c r="C138" s="204" t="s">
        <v>24</v>
      </c>
      <c r="D138" s="163" t="s">
        <v>27</v>
      </c>
      <c r="E138" s="143">
        <v>12590</v>
      </c>
      <c r="F138" s="109">
        <f t="shared" si="17"/>
        <v>0</v>
      </c>
      <c r="G138" s="105">
        <v>0</v>
      </c>
    </row>
    <row r="139" spans="1:7" x14ac:dyDescent="0.4">
      <c r="B139" s="185" t="s">
        <v>286</v>
      </c>
      <c r="C139" s="204" t="s">
        <v>24</v>
      </c>
      <c r="D139" s="163" t="s">
        <v>7</v>
      </c>
      <c r="E139" s="143">
        <v>13890</v>
      </c>
      <c r="F139" s="109">
        <f t="shared" si="17"/>
        <v>0</v>
      </c>
      <c r="G139" s="105">
        <v>0</v>
      </c>
    </row>
    <row r="140" spans="1:7" x14ac:dyDescent="0.4">
      <c r="B140" s="185" t="s">
        <v>286</v>
      </c>
      <c r="C140" s="204" t="s">
        <v>24</v>
      </c>
      <c r="D140" s="163" t="s">
        <v>26</v>
      </c>
      <c r="E140" s="143">
        <v>13890</v>
      </c>
      <c r="F140" s="109">
        <f t="shared" si="17"/>
        <v>0</v>
      </c>
      <c r="G140" s="105">
        <v>0</v>
      </c>
    </row>
    <row r="141" spans="1:7" x14ac:dyDescent="0.4">
      <c r="B141" s="185" t="s">
        <v>286</v>
      </c>
      <c r="C141" s="204" t="s">
        <v>24</v>
      </c>
      <c r="D141" s="163" t="s">
        <v>6</v>
      </c>
      <c r="E141" s="143">
        <v>13890</v>
      </c>
      <c r="F141" s="109">
        <f t="shared" si="17"/>
        <v>0</v>
      </c>
      <c r="G141" s="105">
        <v>0</v>
      </c>
    </row>
    <row r="142" spans="1:7" ht="19.5" customHeight="1" thickBot="1" x14ac:dyDescent="0.45">
      <c r="B142" s="183" t="s">
        <v>286</v>
      </c>
      <c r="C142" s="202" t="s">
        <v>24</v>
      </c>
      <c r="D142" s="158" t="s">
        <v>28</v>
      </c>
      <c r="E142" s="17">
        <v>13890</v>
      </c>
      <c r="F142" s="110">
        <f t="shared" si="17"/>
        <v>0</v>
      </c>
      <c r="G142" s="106">
        <v>0</v>
      </c>
    </row>
    <row r="143" spans="1:7" ht="19.5" customHeight="1" thickBot="1" x14ac:dyDescent="0.45"/>
    <row r="144" spans="1:7" x14ac:dyDescent="0.4">
      <c r="A144" s="8">
        <v>20</v>
      </c>
      <c r="B144" s="184" t="s">
        <v>287</v>
      </c>
      <c r="C144" s="203" t="s">
        <v>8</v>
      </c>
      <c r="D144" s="162" t="s">
        <v>25</v>
      </c>
      <c r="E144" s="142">
        <v>12990</v>
      </c>
      <c r="F144" s="108">
        <f t="shared" ref="F144:F149" si="18">SUM(G144)</f>
        <v>2</v>
      </c>
      <c r="G144" s="104">
        <v>2</v>
      </c>
    </row>
    <row r="145" spans="1:7" x14ac:dyDescent="0.4">
      <c r="B145" s="185" t="s">
        <v>287</v>
      </c>
      <c r="C145" s="204" t="s">
        <v>8</v>
      </c>
      <c r="D145" s="163" t="s">
        <v>27</v>
      </c>
      <c r="E145" s="143">
        <v>12990</v>
      </c>
      <c r="F145" s="109">
        <f t="shared" si="18"/>
        <v>0</v>
      </c>
      <c r="G145" s="105">
        <v>0</v>
      </c>
    </row>
    <row r="146" spans="1:7" x14ac:dyDescent="0.4">
      <c r="B146" s="185" t="s">
        <v>287</v>
      </c>
      <c r="C146" s="204" t="s">
        <v>8</v>
      </c>
      <c r="D146" s="163" t="s">
        <v>7</v>
      </c>
      <c r="E146" s="143">
        <v>14290</v>
      </c>
      <c r="F146" s="109">
        <f t="shared" si="18"/>
        <v>0</v>
      </c>
      <c r="G146" s="105">
        <v>0</v>
      </c>
    </row>
    <row r="147" spans="1:7" x14ac:dyDescent="0.4">
      <c r="B147" s="185" t="s">
        <v>287</v>
      </c>
      <c r="C147" s="204" t="s">
        <v>8</v>
      </c>
      <c r="D147" s="163" t="s">
        <v>26</v>
      </c>
      <c r="E147" s="143">
        <v>14290</v>
      </c>
      <c r="F147" s="109">
        <f t="shared" si="18"/>
        <v>1</v>
      </c>
      <c r="G147" s="105">
        <v>1</v>
      </c>
    </row>
    <row r="148" spans="1:7" x14ac:dyDescent="0.4">
      <c r="B148" s="185" t="s">
        <v>287</v>
      </c>
      <c r="C148" s="204" t="s">
        <v>8</v>
      </c>
      <c r="D148" s="163" t="s">
        <v>6</v>
      </c>
      <c r="E148" s="143">
        <v>14290</v>
      </c>
      <c r="F148" s="109">
        <f t="shared" si="18"/>
        <v>1</v>
      </c>
      <c r="G148" s="105">
        <v>1</v>
      </c>
    </row>
    <row r="149" spans="1:7" ht="19.5" customHeight="1" thickBot="1" x14ac:dyDescent="0.45">
      <c r="B149" s="183" t="s">
        <v>287</v>
      </c>
      <c r="C149" s="202" t="s">
        <v>8</v>
      </c>
      <c r="D149" s="158" t="s">
        <v>28</v>
      </c>
      <c r="E149" s="17">
        <v>14290</v>
      </c>
      <c r="F149" s="110">
        <f t="shared" si="18"/>
        <v>0</v>
      </c>
      <c r="G149" s="106">
        <v>0</v>
      </c>
    </row>
    <row r="150" spans="1:7" ht="19.5" customHeight="1" thickBot="1" x14ac:dyDescent="0.45"/>
    <row r="151" spans="1:7" x14ac:dyDescent="0.4">
      <c r="A151" s="8">
        <v>21</v>
      </c>
      <c r="B151" s="181" t="s">
        <v>433</v>
      </c>
      <c r="C151" s="209" t="s">
        <v>29</v>
      </c>
      <c r="D151" s="162" t="s">
        <v>25</v>
      </c>
      <c r="E151" s="13">
        <v>16890</v>
      </c>
      <c r="F151" s="108">
        <f t="shared" ref="F151:F156" si="19">SUM(G151)</f>
        <v>1</v>
      </c>
      <c r="G151" s="104">
        <v>1</v>
      </c>
    </row>
    <row r="152" spans="1:7" x14ac:dyDescent="0.4">
      <c r="B152" s="182" t="s">
        <v>433</v>
      </c>
      <c r="C152" s="201" t="s">
        <v>29</v>
      </c>
      <c r="D152" s="163" t="s">
        <v>27</v>
      </c>
      <c r="E152" s="6">
        <v>16890</v>
      </c>
      <c r="F152" s="109">
        <f t="shared" si="19"/>
        <v>0</v>
      </c>
      <c r="G152" s="105">
        <v>0</v>
      </c>
    </row>
    <row r="153" spans="1:7" x14ac:dyDescent="0.4">
      <c r="B153" s="182" t="s">
        <v>433</v>
      </c>
      <c r="C153" s="201" t="s">
        <v>29</v>
      </c>
      <c r="D153" s="163" t="s">
        <v>7</v>
      </c>
      <c r="E153" s="6">
        <v>18090</v>
      </c>
      <c r="F153" s="109">
        <f t="shared" si="19"/>
        <v>0</v>
      </c>
      <c r="G153" s="105">
        <v>0</v>
      </c>
    </row>
    <row r="154" spans="1:7" x14ac:dyDescent="0.4">
      <c r="B154" s="182" t="s">
        <v>433</v>
      </c>
      <c r="C154" s="201" t="s">
        <v>29</v>
      </c>
      <c r="D154" s="163" t="s">
        <v>26</v>
      </c>
      <c r="E154" s="6">
        <v>18090</v>
      </c>
      <c r="F154" s="109">
        <f t="shared" si="19"/>
        <v>0</v>
      </c>
      <c r="G154" s="105">
        <v>0</v>
      </c>
    </row>
    <row r="155" spans="1:7" x14ac:dyDescent="0.4">
      <c r="B155" s="182" t="s">
        <v>433</v>
      </c>
      <c r="C155" s="201" t="s">
        <v>29</v>
      </c>
      <c r="D155" s="163" t="s">
        <v>6</v>
      </c>
      <c r="E155" s="6">
        <v>18090</v>
      </c>
      <c r="F155" s="109">
        <f t="shared" si="19"/>
        <v>0</v>
      </c>
      <c r="G155" s="105">
        <v>0</v>
      </c>
    </row>
    <row r="156" spans="1:7" ht="19.5" customHeight="1" thickBot="1" x14ac:dyDescent="0.45">
      <c r="B156" s="183" t="s">
        <v>433</v>
      </c>
      <c r="C156" s="202" t="s">
        <v>29</v>
      </c>
      <c r="D156" s="158" t="s">
        <v>28</v>
      </c>
      <c r="E156" s="17">
        <v>18090</v>
      </c>
      <c r="F156" s="110">
        <f t="shared" si="19"/>
        <v>0</v>
      </c>
      <c r="G156" s="106">
        <v>0</v>
      </c>
    </row>
    <row r="157" spans="1:7" ht="19.5" customHeight="1" thickBot="1" x14ac:dyDescent="0.45"/>
    <row r="158" spans="1:7" x14ac:dyDescent="0.4">
      <c r="A158" s="8">
        <v>22</v>
      </c>
      <c r="B158" s="181" t="s">
        <v>432</v>
      </c>
      <c r="C158" s="209" t="s">
        <v>30</v>
      </c>
      <c r="D158" s="156" t="s">
        <v>32</v>
      </c>
      <c r="E158" s="13">
        <v>7790</v>
      </c>
      <c r="F158" s="108">
        <f>SUM(G158)</f>
        <v>1</v>
      </c>
      <c r="G158" s="104">
        <v>1</v>
      </c>
    </row>
    <row r="159" spans="1:7" x14ac:dyDescent="0.4">
      <c r="B159" s="182" t="s">
        <v>432</v>
      </c>
      <c r="C159" s="201" t="s">
        <v>30</v>
      </c>
      <c r="D159" s="165" t="s">
        <v>33</v>
      </c>
      <c r="E159" s="11">
        <v>7790</v>
      </c>
      <c r="F159" s="109">
        <f>SUM(G159)</f>
        <v>0</v>
      </c>
      <c r="G159" s="105">
        <v>0</v>
      </c>
    </row>
    <row r="160" spans="1:7" x14ac:dyDescent="0.4">
      <c r="B160" s="182" t="s">
        <v>432</v>
      </c>
      <c r="C160" s="201" t="s">
        <v>30</v>
      </c>
      <c r="D160" s="160" t="s">
        <v>34</v>
      </c>
      <c r="E160" s="7">
        <v>7790</v>
      </c>
      <c r="F160" s="109">
        <f>SUM(G160)</f>
        <v>0</v>
      </c>
      <c r="G160" s="107">
        <v>0</v>
      </c>
    </row>
    <row r="161" spans="1:7" x14ac:dyDescent="0.4">
      <c r="B161" s="182" t="s">
        <v>432</v>
      </c>
      <c r="C161" s="201" t="s">
        <v>30</v>
      </c>
      <c r="D161" s="157" t="s">
        <v>294</v>
      </c>
      <c r="E161" s="6">
        <v>7790</v>
      </c>
      <c r="F161" s="109">
        <f>SUM(G161)</f>
        <v>1</v>
      </c>
      <c r="G161" s="105">
        <v>1</v>
      </c>
    </row>
    <row r="162" spans="1:7" ht="19.5" customHeight="1" thickBot="1" x14ac:dyDescent="0.45">
      <c r="B162" s="183" t="s">
        <v>432</v>
      </c>
      <c r="C162" s="202" t="s">
        <v>30</v>
      </c>
      <c r="D162" s="158" t="s">
        <v>346</v>
      </c>
      <c r="E162" s="17">
        <v>7790</v>
      </c>
      <c r="F162" s="110">
        <f>SUM(G162)</f>
        <v>2</v>
      </c>
      <c r="G162" s="106">
        <v>2</v>
      </c>
    </row>
    <row r="163" spans="1:7" ht="19.5" customHeight="1" thickBot="1" x14ac:dyDescent="0.45"/>
    <row r="164" spans="1:7" x14ac:dyDescent="0.4">
      <c r="A164" s="8">
        <v>23</v>
      </c>
      <c r="B164" s="181" t="s">
        <v>431</v>
      </c>
      <c r="C164" s="209" t="s">
        <v>31</v>
      </c>
      <c r="D164" s="156" t="s">
        <v>32</v>
      </c>
      <c r="E164" s="13">
        <v>9390</v>
      </c>
      <c r="F164" s="108">
        <f>SUM(G164)</f>
        <v>1</v>
      </c>
      <c r="G164" s="104">
        <v>1</v>
      </c>
    </row>
    <row r="165" spans="1:7" x14ac:dyDescent="0.4">
      <c r="B165" s="182" t="s">
        <v>431</v>
      </c>
      <c r="C165" s="201" t="s">
        <v>31</v>
      </c>
      <c r="D165" s="165" t="s">
        <v>33</v>
      </c>
      <c r="E165" s="11">
        <v>9390</v>
      </c>
      <c r="F165" s="109">
        <f>SUM(G165)</f>
        <v>0</v>
      </c>
      <c r="G165" s="105">
        <v>0</v>
      </c>
    </row>
    <row r="166" spans="1:7" x14ac:dyDescent="0.4">
      <c r="B166" s="182" t="s">
        <v>431</v>
      </c>
      <c r="C166" s="201" t="s">
        <v>31</v>
      </c>
      <c r="D166" s="160" t="s">
        <v>34</v>
      </c>
      <c r="E166" s="7">
        <v>9390</v>
      </c>
      <c r="F166" s="109">
        <f>SUM(G166)</f>
        <v>0</v>
      </c>
      <c r="G166" s="107">
        <v>0</v>
      </c>
    </row>
    <row r="167" spans="1:7" ht="19.5" customHeight="1" thickBot="1" x14ac:dyDescent="0.45">
      <c r="B167" s="183" t="s">
        <v>431</v>
      </c>
      <c r="C167" s="202" t="s">
        <v>31</v>
      </c>
      <c r="D167" s="166" t="s">
        <v>347</v>
      </c>
      <c r="E167" s="17">
        <v>9390</v>
      </c>
      <c r="F167" s="110">
        <f>SUM(G167)</f>
        <v>0</v>
      </c>
      <c r="G167" s="106">
        <v>0</v>
      </c>
    </row>
    <row r="168" spans="1:7" ht="19.5" customHeight="1" thickBot="1" x14ac:dyDescent="0.45"/>
    <row r="169" spans="1:7" x14ac:dyDescent="0.4">
      <c r="A169" s="8">
        <v>24</v>
      </c>
      <c r="B169" s="181" t="s">
        <v>430</v>
      </c>
      <c r="C169" s="209" t="s">
        <v>24</v>
      </c>
      <c r="D169" s="156" t="s">
        <v>32</v>
      </c>
      <c r="E169" s="13">
        <v>10390</v>
      </c>
      <c r="F169" s="108">
        <f>SUM(G169)</f>
        <v>0</v>
      </c>
      <c r="G169" s="104">
        <v>0</v>
      </c>
    </row>
    <row r="170" spans="1:7" x14ac:dyDescent="0.4">
      <c r="B170" s="182" t="s">
        <v>430</v>
      </c>
      <c r="C170" s="201" t="s">
        <v>24</v>
      </c>
      <c r="D170" s="165" t="s">
        <v>33</v>
      </c>
      <c r="E170" s="11">
        <v>10390</v>
      </c>
      <c r="F170" s="109">
        <f>SUM(G170)</f>
        <v>0</v>
      </c>
      <c r="G170" s="105">
        <v>0</v>
      </c>
    </row>
    <row r="171" spans="1:7" x14ac:dyDescent="0.4">
      <c r="B171" s="182" t="s">
        <v>430</v>
      </c>
      <c r="C171" s="201" t="s">
        <v>24</v>
      </c>
      <c r="D171" s="160" t="s">
        <v>34</v>
      </c>
      <c r="E171" s="7">
        <v>10390</v>
      </c>
      <c r="F171" s="109">
        <f>SUM(G171)</f>
        <v>0</v>
      </c>
      <c r="G171" s="107">
        <v>0</v>
      </c>
    </row>
    <row r="172" spans="1:7" ht="19.5" customHeight="1" thickBot="1" x14ac:dyDescent="0.45">
      <c r="B172" s="183" t="s">
        <v>430</v>
      </c>
      <c r="C172" s="210" t="s">
        <v>24</v>
      </c>
      <c r="D172" s="166" t="s">
        <v>547</v>
      </c>
      <c r="E172" s="17">
        <v>10390</v>
      </c>
      <c r="F172" s="110">
        <f>SUM(G172)</f>
        <v>3</v>
      </c>
      <c r="G172" s="106">
        <v>3</v>
      </c>
    </row>
    <row r="173" spans="1:7" ht="19.5" customHeight="1" thickBot="1" x14ac:dyDescent="0.45"/>
    <row r="174" spans="1:7" ht="19.5" customHeight="1" thickBot="1" x14ac:dyDescent="0.45">
      <c r="A174" s="8">
        <v>25</v>
      </c>
      <c r="B174" s="189" t="s">
        <v>542</v>
      </c>
      <c r="C174" s="211" t="s">
        <v>14</v>
      </c>
      <c r="D174" s="167" t="s">
        <v>264</v>
      </c>
      <c r="E174" s="28">
        <v>12590</v>
      </c>
      <c r="F174" s="119">
        <f>SUM(G174)</f>
        <v>1</v>
      </c>
      <c r="G174" s="111">
        <v>1</v>
      </c>
    </row>
    <row r="175" spans="1:7" ht="19.5" customHeight="1" thickBot="1" x14ac:dyDescent="0.45"/>
    <row r="176" spans="1:7" ht="19.5" customHeight="1" thickBot="1" x14ac:dyDescent="0.45">
      <c r="A176" s="8">
        <v>26</v>
      </c>
      <c r="B176" s="189" t="s">
        <v>429</v>
      </c>
      <c r="C176" s="211" t="s">
        <v>13</v>
      </c>
      <c r="D176" s="167" t="s">
        <v>32</v>
      </c>
      <c r="E176" s="28">
        <v>17590</v>
      </c>
      <c r="F176" s="119">
        <f>SUM(G176)</f>
        <v>1</v>
      </c>
      <c r="G176" s="111">
        <v>1</v>
      </c>
    </row>
    <row r="177" spans="1:7" ht="19.5" customHeight="1" thickBot="1" x14ac:dyDescent="0.45"/>
    <row r="178" spans="1:7" ht="19.5" customHeight="1" thickBot="1" x14ac:dyDescent="0.45">
      <c r="A178" s="8">
        <v>27</v>
      </c>
      <c r="B178" s="189" t="s">
        <v>541</v>
      </c>
      <c r="C178" s="211" t="s">
        <v>13</v>
      </c>
      <c r="D178" s="167" t="s">
        <v>32</v>
      </c>
      <c r="E178" s="28">
        <v>21890</v>
      </c>
      <c r="F178" s="119">
        <f>SUM(G178)</f>
        <v>0</v>
      </c>
      <c r="G178" s="111">
        <v>0</v>
      </c>
    </row>
    <row r="179" spans="1:7" ht="19.5" customHeight="1" thickBot="1" x14ac:dyDescent="0.45"/>
    <row r="180" spans="1:7" x14ac:dyDescent="0.4">
      <c r="A180" s="8">
        <v>28</v>
      </c>
      <c r="B180" s="181" t="s">
        <v>288</v>
      </c>
      <c r="C180" s="200" t="s">
        <v>35</v>
      </c>
      <c r="D180" s="156" t="s">
        <v>293</v>
      </c>
      <c r="E180" s="13">
        <v>7190</v>
      </c>
      <c r="F180" s="108">
        <f t="shared" ref="F180:F187" si="20">SUM(G180)</f>
        <v>2</v>
      </c>
      <c r="G180" s="104">
        <v>2</v>
      </c>
    </row>
    <row r="181" spans="1:7" x14ac:dyDescent="0.4">
      <c r="B181" s="182" t="s">
        <v>288</v>
      </c>
      <c r="C181" s="201" t="s">
        <v>35</v>
      </c>
      <c r="D181" s="157" t="s">
        <v>294</v>
      </c>
      <c r="E181" s="6">
        <v>7190</v>
      </c>
      <c r="F181" s="109">
        <f t="shared" si="20"/>
        <v>0</v>
      </c>
      <c r="G181" s="105">
        <v>0</v>
      </c>
    </row>
    <row r="182" spans="1:7" x14ac:dyDescent="0.4">
      <c r="B182" s="182" t="s">
        <v>288</v>
      </c>
      <c r="C182" s="201" t="s">
        <v>35</v>
      </c>
      <c r="D182" s="157" t="s">
        <v>347</v>
      </c>
      <c r="E182" s="6">
        <v>7190</v>
      </c>
      <c r="F182" s="109">
        <f t="shared" si="20"/>
        <v>1</v>
      </c>
      <c r="G182" s="105">
        <v>1</v>
      </c>
    </row>
    <row r="183" spans="1:7" x14ac:dyDescent="0.4">
      <c r="B183" s="182" t="s">
        <v>288</v>
      </c>
      <c r="C183" s="201" t="s">
        <v>35</v>
      </c>
      <c r="D183" s="157" t="s">
        <v>342</v>
      </c>
      <c r="E183" s="6">
        <v>7190</v>
      </c>
      <c r="F183" s="109">
        <f t="shared" si="20"/>
        <v>3</v>
      </c>
      <c r="G183" s="105">
        <v>3</v>
      </c>
    </row>
    <row r="184" spans="1:7" x14ac:dyDescent="0.4">
      <c r="B184" s="182" t="s">
        <v>288</v>
      </c>
      <c r="C184" s="201" t="s">
        <v>35</v>
      </c>
      <c r="D184" s="157" t="s">
        <v>295</v>
      </c>
      <c r="E184" s="6">
        <v>7190</v>
      </c>
      <c r="F184" s="109">
        <f t="shared" si="20"/>
        <v>1</v>
      </c>
      <c r="G184" s="105">
        <v>1</v>
      </c>
    </row>
    <row r="185" spans="1:7" x14ac:dyDescent="0.4">
      <c r="B185" s="182" t="s">
        <v>288</v>
      </c>
      <c r="C185" s="201" t="s">
        <v>35</v>
      </c>
      <c r="D185" s="157" t="s">
        <v>9</v>
      </c>
      <c r="E185" s="6">
        <v>8790</v>
      </c>
      <c r="F185" s="109">
        <f t="shared" si="20"/>
        <v>1</v>
      </c>
      <c r="G185" s="105">
        <v>1</v>
      </c>
    </row>
    <row r="186" spans="1:7" x14ac:dyDescent="0.4">
      <c r="B186" s="182" t="s">
        <v>288</v>
      </c>
      <c r="C186" s="201" t="s">
        <v>35</v>
      </c>
      <c r="D186" s="157" t="s">
        <v>343</v>
      </c>
      <c r="E186" s="6">
        <v>8790</v>
      </c>
      <c r="F186" s="109">
        <f t="shared" si="20"/>
        <v>2</v>
      </c>
      <c r="G186" s="105">
        <v>2</v>
      </c>
    </row>
    <row r="187" spans="1:7" ht="19.5" customHeight="1" thickBot="1" x14ac:dyDescent="0.45">
      <c r="B187" s="183" t="s">
        <v>288</v>
      </c>
      <c r="C187" s="202" t="s">
        <v>35</v>
      </c>
      <c r="D187" s="158" t="s">
        <v>32</v>
      </c>
      <c r="E187" s="17">
        <v>9190</v>
      </c>
      <c r="F187" s="110">
        <f t="shared" si="20"/>
        <v>2</v>
      </c>
      <c r="G187" s="106">
        <v>2</v>
      </c>
    </row>
    <row r="188" spans="1:7" ht="19.5" customHeight="1" thickBot="1" x14ac:dyDescent="0.45"/>
    <row r="189" spans="1:7" x14ac:dyDescent="0.4">
      <c r="A189" s="8">
        <v>29</v>
      </c>
      <c r="B189" s="181" t="s">
        <v>289</v>
      </c>
      <c r="C189" s="200" t="s">
        <v>36</v>
      </c>
      <c r="D189" s="156" t="s">
        <v>293</v>
      </c>
      <c r="E189" s="13">
        <v>7790</v>
      </c>
      <c r="F189" s="108">
        <f t="shared" ref="F189:F196" si="21">SUM(G189)</f>
        <v>2</v>
      </c>
      <c r="G189" s="104">
        <v>2</v>
      </c>
    </row>
    <row r="190" spans="1:7" x14ac:dyDescent="0.4">
      <c r="B190" s="182" t="s">
        <v>289</v>
      </c>
      <c r="C190" s="201" t="s">
        <v>36</v>
      </c>
      <c r="D190" s="157" t="s">
        <v>294</v>
      </c>
      <c r="E190" s="6">
        <v>7790</v>
      </c>
      <c r="F190" s="109">
        <f t="shared" si="21"/>
        <v>5</v>
      </c>
      <c r="G190" s="105">
        <v>5</v>
      </c>
    </row>
    <row r="191" spans="1:7" x14ac:dyDescent="0.4">
      <c r="B191" s="182" t="s">
        <v>289</v>
      </c>
      <c r="C191" s="201" t="s">
        <v>36</v>
      </c>
      <c r="D191" s="157" t="s">
        <v>347</v>
      </c>
      <c r="E191" s="6">
        <v>7790</v>
      </c>
      <c r="F191" s="109">
        <f t="shared" si="21"/>
        <v>1</v>
      </c>
      <c r="G191" s="105">
        <v>1</v>
      </c>
    </row>
    <row r="192" spans="1:7" x14ac:dyDescent="0.4">
      <c r="B192" s="182" t="s">
        <v>289</v>
      </c>
      <c r="C192" s="201" t="s">
        <v>36</v>
      </c>
      <c r="D192" s="157" t="s">
        <v>342</v>
      </c>
      <c r="E192" s="6">
        <v>7790</v>
      </c>
      <c r="F192" s="109">
        <f t="shared" si="21"/>
        <v>1</v>
      </c>
      <c r="G192" s="105">
        <v>1</v>
      </c>
    </row>
    <row r="193" spans="1:7" x14ac:dyDescent="0.4">
      <c r="B193" s="182" t="s">
        <v>289</v>
      </c>
      <c r="C193" s="201" t="s">
        <v>36</v>
      </c>
      <c r="D193" s="157" t="s">
        <v>295</v>
      </c>
      <c r="E193" s="6">
        <v>7790</v>
      </c>
      <c r="F193" s="109">
        <f t="shared" si="21"/>
        <v>2</v>
      </c>
      <c r="G193" s="105">
        <v>2</v>
      </c>
    </row>
    <row r="194" spans="1:7" x14ac:dyDescent="0.4">
      <c r="B194" s="182" t="s">
        <v>289</v>
      </c>
      <c r="C194" s="201" t="s">
        <v>36</v>
      </c>
      <c r="D194" s="157" t="s">
        <v>9</v>
      </c>
      <c r="E194" s="11">
        <v>8390</v>
      </c>
      <c r="F194" s="109">
        <f t="shared" si="21"/>
        <v>2</v>
      </c>
      <c r="G194" s="105">
        <v>2</v>
      </c>
    </row>
    <row r="195" spans="1:7" x14ac:dyDescent="0.4">
      <c r="B195" s="182" t="s">
        <v>289</v>
      </c>
      <c r="C195" s="201" t="s">
        <v>36</v>
      </c>
      <c r="D195" s="157" t="s">
        <v>343</v>
      </c>
      <c r="E195" s="11">
        <v>8390</v>
      </c>
      <c r="F195" s="109">
        <f t="shared" si="21"/>
        <v>2</v>
      </c>
      <c r="G195" s="105">
        <v>2</v>
      </c>
    </row>
    <row r="196" spans="1:7" ht="19.5" customHeight="1" thickBot="1" x14ac:dyDescent="0.45">
      <c r="B196" s="183" t="s">
        <v>289</v>
      </c>
      <c r="C196" s="202" t="s">
        <v>36</v>
      </c>
      <c r="D196" s="158" t="s">
        <v>32</v>
      </c>
      <c r="E196" s="17">
        <v>8790</v>
      </c>
      <c r="F196" s="110">
        <f t="shared" si="21"/>
        <v>0</v>
      </c>
      <c r="G196" s="106">
        <v>0</v>
      </c>
    </row>
    <row r="197" spans="1:7" ht="19.5" customHeight="1" thickBot="1" x14ac:dyDescent="0.45"/>
    <row r="198" spans="1:7" x14ac:dyDescent="0.4">
      <c r="A198" s="8">
        <v>30</v>
      </c>
      <c r="B198" s="181" t="s">
        <v>615</v>
      </c>
      <c r="C198" s="209" t="s">
        <v>24</v>
      </c>
      <c r="D198" s="168" t="s">
        <v>293</v>
      </c>
      <c r="E198" s="13">
        <v>8990</v>
      </c>
      <c r="F198" s="108">
        <f t="shared" ref="F198:F205" si="22">SUM(G198)</f>
        <v>1</v>
      </c>
      <c r="G198" s="104">
        <v>1</v>
      </c>
    </row>
    <row r="199" spans="1:7" x14ac:dyDescent="0.4">
      <c r="B199" s="182" t="s">
        <v>615</v>
      </c>
      <c r="C199" s="201" t="s">
        <v>24</v>
      </c>
      <c r="D199" s="157" t="s">
        <v>294</v>
      </c>
      <c r="E199" s="6">
        <v>8990</v>
      </c>
      <c r="F199" s="109">
        <f t="shared" si="22"/>
        <v>2</v>
      </c>
      <c r="G199" s="105">
        <v>2</v>
      </c>
    </row>
    <row r="200" spans="1:7" x14ac:dyDescent="0.4">
      <c r="B200" s="182" t="s">
        <v>615</v>
      </c>
      <c r="C200" s="201" t="s">
        <v>24</v>
      </c>
      <c r="D200" s="157" t="s">
        <v>347</v>
      </c>
      <c r="E200" s="6">
        <v>8990</v>
      </c>
      <c r="F200" s="109">
        <f t="shared" si="22"/>
        <v>1</v>
      </c>
      <c r="G200" s="105">
        <v>1</v>
      </c>
    </row>
    <row r="201" spans="1:7" x14ac:dyDescent="0.4">
      <c r="B201" s="182" t="s">
        <v>615</v>
      </c>
      <c r="C201" s="201" t="s">
        <v>24</v>
      </c>
      <c r="D201" s="157" t="s">
        <v>342</v>
      </c>
      <c r="E201" s="6">
        <v>8990</v>
      </c>
      <c r="F201" s="109">
        <f t="shared" si="22"/>
        <v>10</v>
      </c>
      <c r="G201" s="105">
        <v>10</v>
      </c>
    </row>
    <row r="202" spans="1:7" x14ac:dyDescent="0.4">
      <c r="B202" s="182" t="s">
        <v>615</v>
      </c>
      <c r="C202" s="201" t="s">
        <v>24</v>
      </c>
      <c r="D202" s="157" t="s">
        <v>295</v>
      </c>
      <c r="E202" s="6">
        <v>8990</v>
      </c>
      <c r="F202" s="109">
        <f t="shared" si="22"/>
        <v>2</v>
      </c>
      <c r="G202" s="105">
        <v>2</v>
      </c>
    </row>
    <row r="203" spans="1:7" x14ac:dyDescent="0.4">
      <c r="B203" s="182" t="s">
        <v>615</v>
      </c>
      <c r="C203" s="201" t="s">
        <v>24</v>
      </c>
      <c r="D203" s="157" t="s">
        <v>9</v>
      </c>
      <c r="E203" s="11">
        <v>10990</v>
      </c>
      <c r="F203" s="109">
        <f t="shared" si="22"/>
        <v>1</v>
      </c>
      <c r="G203" s="105">
        <v>1</v>
      </c>
    </row>
    <row r="204" spans="1:7" x14ac:dyDescent="0.4">
      <c r="B204" s="182" t="s">
        <v>615</v>
      </c>
      <c r="C204" s="201" t="s">
        <v>24</v>
      </c>
      <c r="D204" s="157" t="s">
        <v>343</v>
      </c>
      <c r="E204" s="11">
        <v>10990</v>
      </c>
      <c r="F204" s="109">
        <f t="shared" si="22"/>
        <v>2</v>
      </c>
      <c r="G204" s="105">
        <v>2</v>
      </c>
    </row>
    <row r="205" spans="1:7" ht="19.5" customHeight="1" thickBot="1" x14ac:dyDescent="0.45">
      <c r="B205" s="183" t="s">
        <v>615</v>
      </c>
      <c r="C205" s="202" t="s">
        <v>24</v>
      </c>
      <c r="D205" s="158" t="s">
        <v>32</v>
      </c>
      <c r="E205" s="17">
        <v>11490</v>
      </c>
      <c r="F205" s="110">
        <f t="shared" si="22"/>
        <v>2</v>
      </c>
      <c r="G205" s="106">
        <v>2</v>
      </c>
    </row>
    <row r="206" spans="1:7" ht="19.5" customHeight="1" thickBot="1" x14ac:dyDescent="0.45"/>
    <row r="207" spans="1:7" x14ac:dyDescent="0.4">
      <c r="A207" s="8">
        <v>31</v>
      </c>
      <c r="B207" s="181" t="s">
        <v>614</v>
      </c>
      <c r="C207" s="209" t="s">
        <v>8</v>
      </c>
      <c r="D207" s="168" t="s">
        <v>293</v>
      </c>
      <c r="E207" s="13">
        <v>9390</v>
      </c>
      <c r="F207" s="108">
        <f t="shared" ref="F207:F214" si="23">SUM(G207)</f>
        <v>4</v>
      </c>
      <c r="G207" s="104">
        <v>4</v>
      </c>
    </row>
    <row r="208" spans="1:7" x14ac:dyDescent="0.4">
      <c r="B208" s="182" t="s">
        <v>614</v>
      </c>
      <c r="C208" s="201" t="s">
        <v>8</v>
      </c>
      <c r="D208" s="157" t="s">
        <v>294</v>
      </c>
      <c r="E208" s="6">
        <v>9390</v>
      </c>
      <c r="F208" s="109">
        <f t="shared" si="23"/>
        <v>1</v>
      </c>
      <c r="G208" s="105">
        <v>1</v>
      </c>
    </row>
    <row r="209" spans="1:7" x14ac:dyDescent="0.4">
      <c r="B209" s="182" t="s">
        <v>614</v>
      </c>
      <c r="C209" s="201" t="s">
        <v>8</v>
      </c>
      <c r="D209" s="157" t="s">
        <v>347</v>
      </c>
      <c r="E209" s="6">
        <v>9390</v>
      </c>
      <c r="F209" s="109">
        <f t="shared" si="23"/>
        <v>2</v>
      </c>
      <c r="G209" s="105">
        <v>2</v>
      </c>
    </row>
    <row r="210" spans="1:7" x14ac:dyDescent="0.4">
      <c r="B210" s="182" t="s">
        <v>614</v>
      </c>
      <c r="C210" s="201" t="s">
        <v>8</v>
      </c>
      <c r="D210" s="157" t="s">
        <v>342</v>
      </c>
      <c r="E210" s="6">
        <v>9390</v>
      </c>
      <c r="F210" s="109">
        <f t="shared" si="23"/>
        <v>1</v>
      </c>
      <c r="G210" s="105">
        <v>1</v>
      </c>
    </row>
    <row r="211" spans="1:7" x14ac:dyDescent="0.4">
      <c r="B211" s="182" t="s">
        <v>614</v>
      </c>
      <c r="C211" s="201" t="s">
        <v>8</v>
      </c>
      <c r="D211" s="157" t="s">
        <v>295</v>
      </c>
      <c r="E211" s="6">
        <v>9390</v>
      </c>
      <c r="F211" s="109">
        <f t="shared" si="23"/>
        <v>0</v>
      </c>
      <c r="G211" s="105">
        <v>0</v>
      </c>
    </row>
    <row r="212" spans="1:7" x14ac:dyDescent="0.4">
      <c r="B212" s="182" t="s">
        <v>614</v>
      </c>
      <c r="C212" s="201" t="s">
        <v>8</v>
      </c>
      <c r="D212" s="157" t="s">
        <v>9</v>
      </c>
      <c r="E212" s="11">
        <v>11490</v>
      </c>
      <c r="F212" s="109">
        <f t="shared" si="23"/>
        <v>4</v>
      </c>
      <c r="G212" s="105">
        <v>4</v>
      </c>
    </row>
    <row r="213" spans="1:7" x14ac:dyDescent="0.4">
      <c r="B213" s="182" t="s">
        <v>614</v>
      </c>
      <c r="C213" s="201" t="s">
        <v>8</v>
      </c>
      <c r="D213" s="157" t="s">
        <v>343</v>
      </c>
      <c r="E213" s="11">
        <v>11490</v>
      </c>
      <c r="F213" s="109">
        <f t="shared" si="23"/>
        <v>3</v>
      </c>
      <c r="G213" s="105">
        <v>3</v>
      </c>
    </row>
    <row r="214" spans="1:7" ht="19.5" customHeight="1" thickBot="1" x14ac:dyDescent="0.45">
      <c r="B214" s="183" t="s">
        <v>614</v>
      </c>
      <c r="C214" s="202" t="s">
        <v>8</v>
      </c>
      <c r="D214" s="158" t="s">
        <v>32</v>
      </c>
      <c r="E214" s="17">
        <v>11990</v>
      </c>
      <c r="F214" s="110">
        <f t="shared" si="23"/>
        <v>2</v>
      </c>
      <c r="G214" s="106">
        <v>2</v>
      </c>
    </row>
    <row r="215" spans="1:7" ht="19.5" customHeight="1" thickBot="1" x14ac:dyDescent="0.45"/>
    <row r="216" spans="1:7" x14ac:dyDescent="0.4">
      <c r="A216" s="8">
        <v>32</v>
      </c>
      <c r="B216" s="181" t="s">
        <v>292</v>
      </c>
      <c r="C216" s="209" t="s">
        <v>37</v>
      </c>
      <c r="D216" s="168" t="s">
        <v>293</v>
      </c>
      <c r="E216" s="13">
        <v>8190</v>
      </c>
      <c r="F216" s="108">
        <f t="shared" ref="F216:F223" si="24">SUM(G216)</f>
        <v>0</v>
      </c>
      <c r="G216" s="104">
        <v>0</v>
      </c>
    </row>
    <row r="217" spans="1:7" x14ac:dyDescent="0.4">
      <c r="B217" s="182" t="s">
        <v>292</v>
      </c>
      <c r="C217" s="201" t="s">
        <v>37</v>
      </c>
      <c r="D217" s="157" t="s">
        <v>294</v>
      </c>
      <c r="E217" s="6">
        <v>8190</v>
      </c>
      <c r="F217" s="109">
        <f t="shared" si="24"/>
        <v>0</v>
      </c>
      <c r="G217" s="105">
        <v>0</v>
      </c>
    </row>
    <row r="218" spans="1:7" x14ac:dyDescent="0.4">
      <c r="B218" s="182" t="s">
        <v>292</v>
      </c>
      <c r="C218" s="201" t="s">
        <v>37</v>
      </c>
      <c r="D218" s="157" t="s">
        <v>347</v>
      </c>
      <c r="E218" s="6">
        <v>8190</v>
      </c>
      <c r="F218" s="109">
        <f t="shared" si="24"/>
        <v>1</v>
      </c>
      <c r="G218" s="105">
        <v>1</v>
      </c>
    </row>
    <row r="219" spans="1:7" x14ac:dyDescent="0.4">
      <c r="B219" s="182" t="s">
        <v>292</v>
      </c>
      <c r="C219" s="201" t="s">
        <v>37</v>
      </c>
      <c r="D219" s="157" t="s">
        <v>342</v>
      </c>
      <c r="E219" s="6">
        <v>8190</v>
      </c>
      <c r="F219" s="109">
        <f t="shared" si="24"/>
        <v>0</v>
      </c>
      <c r="G219" s="105">
        <v>0</v>
      </c>
    </row>
    <row r="220" spans="1:7" x14ac:dyDescent="0.4">
      <c r="B220" s="182" t="s">
        <v>292</v>
      </c>
      <c r="C220" s="201" t="s">
        <v>37</v>
      </c>
      <c r="D220" s="157" t="s">
        <v>295</v>
      </c>
      <c r="E220" s="6">
        <v>8190</v>
      </c>
      <c r="F220" s="109">
        <f t="shared" si="24"/>
        <v>1</v>
      </c>
      <c r="G220" s="105">
        <v>1</v>
      </c>
    </row>
    <row r="221" spans="1:7" x14ac:dyDescent="0.4">
      <c r="B221" s="182" t="s">
        <v>292</v>
      </c>
      <c r="C221" s="201" t="s">
        <v>37</v>
      </c>
      <c r="D221" s="157" t="s">
        <v>9</v>
      </c>
      <c r="E221" s="11">
        <v>8990</v>
      </c>
      <c r="F221" s="109">
        <f t="shared" si="24"/>
        <v>1</v>
      </c>
      <c r="G221" s="105">
        <v>1</v>
      </c>
    </row>
    <row r="222" spans="1:7" x14ac:dyDescent="0.4">
      <c r="B222" s="182" t="s">
        <v>292</v>
      </c>
      <c r="C222" s="201" t="s">
        <v>37</v>
      </c>
      <c r="D222" s="157" t="s">
        <v>343</v>
      </c>
      <c r="E222" s="11">
        <v>8990</v>
      </c>
      <c r="F222" s="109">
        <f t="shared" si="24"/>
        <v>1</v>
      </c>
      <c r="G222" s="105">
        <v>1</v>
      </c>
    </row>
    <row r="223" spans="1:7" ht="19.5" customHeight="1" thickBot="1" x14ac:dyDescent="0.45">
      <c r="B223" s="183" t="s">
        <v>292</v>
      </c>
      <c r="C223" s="202" t="s">
        <v>37</v>
      </c>
      <c r="D223" s="158" t="s">
        <v>32</v>
      </c>
      <c r="E223" s="17">
        <v>9390</v>
      </c>
      <c r="F223" s="110">
        <f t="shared" si="24"/>
        <v>2</v>
      </c>
      <c r="G223" s="106">
        <v>2</v>
      </c>
    </row>
    <row r="224" spans="1:7" ht="19.5" customHeight="1" thickBot="1" x14ac:dyDescent="0.45"/>
    <row r="225" spans="1:7" x14ac:dyDescent="0.4">
      <c r="A225" s="8">
        <v>33</v>
      </c>
      <c r="B225" s="181" t="s">
        <v>575</v>
      </c>
      <c r="C225" s="209" t="s">
        <v>23</v>
      </c>
      <c r="D225" s="168" t="s">
        <v>293</v>
      </c>
      <c r="E225" s="13">
        <v>9890</v>
      </c>
      <c r="F225" s="108">
        <f t="shared" ref="F225:F233" si="25">SUM(G225)</f>
        <v>3</v>
      </c>
      <c r="G225" s="104">
        <v>3</v>
      </c>
    </row>
    <row r="226" spans="1:7" x14ac:dyDescent="0.4">
      <c r="B226" s="182" t="s">
        <v>575</v>
      </c>
      <c r="C226" s="212" t="s">
        <v>23</v>
      </c>
      <c r="D226" s="169" t="s">
        <v>294</v>
      </c>
      <c r="E226" s="6">
        <v>9890</v>
      </c>
      <c r="F226" s="109">
        <f t="shared" si="25"/>
        <v>1</v>
      </c>
      <c r="G226" s="105">
        <v>1</v>
      </c>
    </row>
    <row r="227" spans="1:7" x14ac:dyDescent="0.4">
      <c r="B227" s="182" t="s">
        <v>575</v>
      </c>
      <c r="C227" s="213" t="s">
        <v>23</v>
      </c>
      <c r="D227" s="169" t="s">
        <v>347</v>
      </c>
      <c r="E227" s="6">
        <v>9890</v>
      </c>
      <c r="F227" s="109">
        <f t="shared" si="25"/>
        <v>1</v>
      </c>
      <c r="G227" s="105">
        <v>1</v>
      </c>
    </row>
    <row r="228" spans="1:7" x14ac:dyDescent="0.4">
      <c r="B228" s="182" t="s">
        <v>575</v>
      </c>
      <c r="C228" s="213" t="s">
        <v>23</v>
      </c>
      <c r="D228" s="169" t="s">
        <v>342</v>
      </c>
      <c r="E228" s="6">
        <v>9890</v>
      </c>
      <c r="F228" s="109">
        <f t="shared" si="25"/>
        <v>2</v>
      </c>
      <c r="G228" s="105">
        <v>2</v>
      </c>
    </row>
    <row r="229" spans="1:7" x14ac:dyDescent="0.4">
      <c r="B229" s="182" t="s">
        <v>575</v>
      </c>
      <c r="C229" s="213" t="s">
        <v>23</v>
      </c>
      <c r="D229" s="169" t="s">
        <v>295</v>
      </c>
      <c r="E229" s="6">
        <v>9890</v>
      </c>
      <c r="F229" s="109">
        <f t="shared" si="25"/>
        <v>2</v>
      </c>
      <c r="G229" s="105">
        <v>2</v>
      </c>
    </row>
    <row r="230" spans="1:7" x14ac:dyDescent="0.4">
      <c r="B230" s="182" t="s">
        <v>575</v>
      </c>
      <c r="C230" s="213" t="s">
        <v>23</v>
      </c>
      <c r="D230" s="169" t="s">
        <v>9</v>
      </c>
      <c r="E230" s="11">
        <v>11890</v>
      </c>
      <c r="F230" s="109">
        <f t="shared" si="25"/>
        <v>1</v>
      </c>
      <c r="G230" s="105">
        <v>1</v>
      </c>
    </row>
    <row r="231" spans="1:7" x14ac:dyDescent="0.4">
      <c r="B231" s="182" t="s">
        <v>575</v>
      </c>
      <c r="C231" s="213" t="s">
        <v>23</v>
      </c>
      <c r="D231" s="169" t="s">
        <v>343</v>
      </c>
      <c r="E231" s="11">
        <v>11890</v>
      </c>
      <c r="F231" s="109">
        <f t="shared" si="25"/>
        <v>2</v>
      </c>
      <c r="G231" s="105">
        <v>2</v>
      </c>
    </row>
    <row r="232" spans="1:7" x14ac:dyDescent="0.4">
      <c r="B232" s="182" t="s">
        <v>575</v>
      </c>
      <c r="C232" s="213" t="s">
        <v>23</v>
      </c>
      <c r="D232" s="157" t="s">
        <v>264</v>
      </c>
      <c r="E232" s="6">
        <v>12390</v>
      </c>
      <c r="F232" s="109">
        <f t="shared" si="25"/>
        <v>3</v>
      </c>
      <c r="G232" s="105">
        <v>3</v>
      </c>
    </row>
    <row r="233" spans="1:7" ht="19.5" customHeight="1" thickBot="1" x14ac:dyDescent="0.45">
      <c r="B233" s="183" t="s">
        <v>575</v>
      </c>
      <c r="C233" s="202" t="s">
        <v>23</v>
      </c>
      <c r="D233" s="158" t="s">
        <v>345</v>
      </c>
      <c r="E233" s="17">
        <v>15390</v>
      </c>
      <c r="F233" s="110">
        <f t="shared" si="25"/>
        <v>3</v>
      </c>
      <c r="G233" s="106">
        <v>3</v>
      </c>
    </row>
    <row r="234" spans="1:7" ht="19.5" customHeight="1" thickBot="1" x14ac:dyDescent="0.45"/>
    <row r="235" spans="1:7" x14ac:dyDescent="0.4">
      <c r="A235" s="8">
        <v>34</v>
      </c>
      <c r="B235" s="181" t="s">
        <v>574</v>
      </c>
      <c r="C235" s="209" t="s">
        <v>10</v>
      </c>
      <c r="D235" s="168" t="s">
        <v>293</v>
      </c>
      <c r="E235" s="13">
        <v>13390</v>
      </c>
      <c r="F235" s="108">
        <f t="shared" ref="F235:F244" si="26">SUM(G235)</f>
        <v>1</v>
      </c>
      <c r="G235" s="104">
        <v>1</v>
      </c>
    </row>
    <row r="236" spans="1:7" x14ac:dyDescent="0.4">
      <c r="B236" s="182" t="s">
        <v>574</v>
      </c>
      <c r="C236" s="212" t="s">
        <v>10</v>
      </c>
      <c r="D236" s="169" t="s">
        <v>294</v>
      </c>
      <c r="E236" s="6">
        <v>13390</v>
      </c>
      <c r="F236" s="109">
        <f t="shared" si="26"/>
        <v>0</v>
      </c>
      <c r="G236" s="105">
        <v>0</v>
      </c>
    </row>
    <row r="237" spans="1:7" x14ac:dyDescent="0.4">
      <c r="B237" s="182" t="s">
        <v>574</v>
      </c>
      <c r="C237" s="213" t="s">
        <v>10</v>
      </c>
      <c r="D237" s="169" t="s">
        <v>347</v>
      </c>
      <c r="E237" s="6">
        <v>13390</v>
      </c>
      <c r="F237" s="109">
        <f t="shared" si="26"/>
        <v>2</v>
      </c>
      <c r="G237" s="105">
        <v>2</v>
      </c>
    </row>
    <row r="238" spans="1:7" x14ac:dyDescent="0.4">
      <c r="B238" s="182" t="s">
        <v>574</v>
      </c>
      <c r="C238" s="213" t="s">
        <v>10</v>
      </c>
      <c r="D238" s="169" t="s">
        <v>342</v>
      </c>
      <c r="E238" s="6">
        <v>13390</v>
      </c>
      <c r="F238" s="109">
        <f t="shared" si="26"/>
        <v>1</v>
      </c>
      <c r="G238" s="105">
        <v>1</v>
      </c>
    </row>
    <row r="239" spans="1:7" x14ac:dyDescent="0.4">
      <c r="B239" s="182" t="s">
        <v>574</v>
      </c>
      <c r="C239" s="213" t="s">
        <v>10</v>
      </c>
      <c r="D239" s="169" t="s">
        <v>295</v>
      </c>
      <c r="E239" s="6">
        <v>13390</v>
      </c>
      <c r="F239" s="109">
        <f t="shared" si="26"/>
        <v>1</v>
      </c>
      <c r="G239" s="105">
        <v>1</v>
      </c>
    </row>
    <row r="240" spans="1:7" x14ac:dyDescent="0.4">
      <c r="B240" s="182" t="s">
        <v>574</v>
      </c>
      <c r="C240" s="213" t="s">
        <v>10</v>
      </c>
      <c r="D240" s="169" t="s">
        <v>9</v>
      </c>
      <c r="E240" s="11">
        <v>14090</v>
      </c>
      <c r="F240" s="109">
        <f t="shared" si="26"/>
        <v>2</v>
      </c>
      <c r="G240" s="105">
        <v>2</v>
      </c>
    </row>
    <row r="241" spans="1:7" x14ac:dyDescent="0.4">
      <c r="B241" s="182" t="s">
        <v>574</v>
      </c>
      <c r="C241" s="213" t="s">
        <v>10</v>
      </c>
      <c r="D241" s="169" t="s">
        <v>343</v>
      </c>
      <c r="E241" s="11">
        <v>14090</v>
      </c>
      <c r="F241" s="109">
        <f t="shared" si="26"/>
        <v>1</v>
      </c>
      <c r="G241" s="105">
        <v>1</v>
      </c>
    </row>
    <row r="242" spans="1:7" x14ac:dyDescent="0.4">
      <c r="B242" s="182" t="s">
        <v>574</v>
      </c>
      <c r="C242" s="213" t="s">
        <v>10</v>
      </c>
      <c r="D242" s="170" t="s">
        <v>264</v>
      </c>
      <c r="E242" s="7">
        <v>14490</v>
      </c>
      <c r="F242" s="109">
        <f t="shared" si="26"/>
        <v>4</v>
      </c>
      <c r="G242" s="107">
        <v>4</v>
      </c>
    </row>
    <row r="243" spans="1:7" x14ac:dyDescent="0.4">
      <c r="B243" s="182" t="s">
        <v>574</v>
      </c>
      <c r="C243" s="213" t="s">
        <v>10</v>
      </c>
      <c r="D243" s="169" t="s">
        <v>344</v>
      </c>
      <c r="E243" s="6">
        <v>17490</v>
      </c>
      <c r="F243" s="109">
        <f t="shared" si="26"/>
        <v>1</v>
      </c>
      <c r="G243" s="105">
        <v>1</v>
      </c>
    </row>
    <row r="244" spans="1:7" ht="19.5" customHeight="1" thickBot="1" x14ac:dyDescent="0.45">
      <c r="B244" s="183" t="s">
        <v>574</v>
      </c>
      <c r="C244" s="210" t="s">
        <v>10</v>
      </c>
      <c r="D244" s="158" t="s">
        <v>33</v>
      </c>
      <c r="E244" s="17">
        <v>17490</v>
      </c>
      <c r="F244" s="110">
        <f t="shared" si="26"/>
        <v>1</v>
      </c>
      <c r="G244" s="106">
        <v>1</v>
      </c>
    </row>
    <row r="245" spans="1:7" ht="19.5" customHeight="1" thickBot="1" x14ac:dyDescent="0.45">
      <c r="C245" s="213"/>
    </row>
    <row r="246" spans="1:7" x14ac:dyDescent="0.4">
      <c r="A246" s="8">
        <v>35</v>
      </c>
      <c r="B246" s="181" t="s">
        <v>576</v>
      </c>
      <c r="C246" s="209" t="s">
        <v>11</v>
      </c>
      <c r="D246" s="168" t="s">
        <v>293</v>
      </c>
      <c r="E246" s="13">
        <v>15090</v>
      </c>
      <c r="F246" s="108">
        <f t="shared" ref="F246:F255" si="27">SUM(G246)</f>
        <v>4</v>
      </c>
      <c r="G246" s="104">
        <v>4</v>
      </c>
    </row>
    <row r="247" spans="1:7" x14ac:dyDescent="0.4">
      <c r="B247" s="182" t="s">
        <v>576</v>
      </c>
      <c r="C247" s="212" t="s">
        <v>11</v>
      </c>
      <c r="D247" s="169" t="s">
        <v>294</v>
      </c>
      <c r="E247" s="6">
        <v>15090</v>
      </c>
      <c r="F247" s="109">
        <f t="shared" si="27"/>
        <v>0</v>
      </c>
      <c r="G247" s="105">
        <v>0</v>
      </c>
    </row>
    <row r="248" spans="1:7" x14ac:dyDescent="0.4">
      <c r="B248" s="182" t="s">
        <v>576</v>
      </c>
      <c r="C248" s="213" t="s">
        <v>11</v>
      </c>
      <c r="D248" s="169" t="s">
        <v>347</v>
      </c>
      <c r="E248" s="6">
        <v>15090</v>
      </c>
      <c r="F248" s="109">
        <f t="shared" si="27"/>
        <v>1</v>
      </c>
      <c r="G248" s="105">
        <v>1</v>
      </c>
    </row>
    <row r="249" spans="1:7" x14ac:dyDescent="0.4">
      <c r="B249" s="182" t="s">
        <v>576</v>
      </c>
      <c r="C249" s="213" t="s">
        <v>11</v>
      </c>
      <c r="D249" s="169" t="s">
        <v>342</v>
      </c>
      <c r="E249" s="6">
        <v>15090</v>
      </c>
      <c r="F249" s="109">
        <f t="shared" si="27"/>
        <v>1</v>
      </c>
      <c r="G249" s="105">
        <v>1</v>
      </c>
    </row>
    <row r="250" spans="1:7" x14ac:dyDescent="0.4">
      <c r="B250" s="182" t="s">
        <v>576</v>
      </c>
      <c r="C250" s="213" t="s">
        <v>11</v>
      </c>
      <c r="D250" s="169" t="s">
        <v>295</v>
      </c>
      <c r="E250" s="6">
        <v>15090</v>
      </c>
      <c r="F250" s="109">
        <f t="shared" si="27"/>
        <v>1</v>
      </c>
      <c r="G250" s="105">
        <v>1</v>
      </c>
    </row>
    <row r="251" spans="1:7" x14ac:dyDescent="0.4">
      <c r="B251" s="182" t="s">
        <v>576</v>
      </c>
      <c r="C251" s="213" t="s">
        <v>11</v>
      </c>
      <c r="D251" s="169" t="s">
        <v>9</v>
      </c>
      <c r="E251" s="11">
        <v>16690</v>
      </c>
      <c r="F251" s="109">
        <f t="shared" si="27"/>
        <v>2</v>
      </c>
      <c r="G251" s="105">
        <v>2</v>
      </c>
    </row>
    <row r="252" spans="1:7" x14ac:dyDescent="0.4">
      <c r="B252" s="182" t="s">
        <v>576</v>
      </c>
      <c r="C252" s="213" t="s">
        <v>11</v>
      </c>
      <c r="D252" s="169" t="s">
        <v>343</v>
      </c>
      <c r="E252" s="11">
        <v>16690</v>
      </c>
      <c r="F252" s="109">
        <f t="shared" si="27"/>
        <v>1</v>
      </c>
      <c r="G252" s="105">
        <v>1</v>
      </c>
    </row>
    <row r="253" spans="1:7" x14ac:dyDescent="0.4">
      <c r="B253" s="182" t="s">
        <v>576</v>
      </c>
      <c r="C253" s="213" t="s">
        <v>11</v>
      </c>
      <c r="D253" s="170" t="s">
        <v>32</v>
      </c>
      <c r="E253" s="7">
        <v>17190</v>
      </c>
      <c r="F253" s="109">
        <f t="shared" si="27"/>
        <v>1</v>
      </c>
      <c r="G253" s="105">
        <v>1</v>
      </c>
    </row>
    <row r="254" spans="1:7" x14ac:dyDescent="0.4">
      <c r="B254" s="182" t="s">
        <v>576</v>
      </c>
      <c r="C254" s="201" t="s">
        <v>11</v>
      </c>
      <c r="D254" s="160" t="s">
        <v>546</v>
      </c>
      <c r="E254" s="7">
        <v>15090</v>
      </c>
      <c r="F254" s="109">
        <f t="shared" si="27"/>
        <v>1</v>
      </c>
      <c r="G254" s="107">
        <v>1</v>
      </c>
    </row>
    <row r="255" spans="1:7" ht="19.5" customHeight="1" thickBot="1" x14ac:dyDescent="0.45">
      <c r="B255" s="183" t="s">
        <v>576</v>
      </c>
      <c r="C255" s="210" t="s">
        <v>11</v>
      </c>
      <c r="D255" s="166" t="s">
        <v>47</v>
      </c>
      <c r="E255" s="17">
        <v>20190</v>
      </c>
      <c r="F255" s="110">
        <f t="shared" si="27"/>
        <v>4</v>
      </c>
      <c r="G255" s="106">
        <v>4</v>
      </c>
    </row>
    <row r="256" spans="1:7" ht="19.5" customHeight="1" thickBot="1" x14ac:dyDescent="0.45"/>
    <row r="257" spans="1:7" x14ac:dyDescent="0.4">
      <c r="A257" s="8">
        <v>36</v>
      </c>
      <c r="B257" s="181" t="s">
        <v>428</v>
      </c>
      <c r="C257" s="209" t="s">
        <v>16</v>
      </c>
      <c r="D257" s="156" t="s">
        <v>32</v>
      </c>
      <c r="E257" s="13">
        <v>20390</v>
      </c>
      <c r="F257" s="108">
        <f>SUM(G257)</f>
        <v>0</v>
      </c>
      <c r="G257" s="104">
        <v>0</v>
      </c>
    </row>
    <row r="258" spans="1:7" x14ac:dyDescent="0.4">
      <c r="B258" s="182" t="s">
        <v>428</v>
      </c>
      <c r="C258" s="201" t="s">
        <v>16</v>
      </c>
      <c r="D258" s="165" t="s">
        <v>33</v>
      </c>
      <c r="E258" s="11">
        <v>20390</v>
      </c>
      <c r="F258" s="109">
        <f>SUM(G258)</f>
        <v>0</v>
      </c>
      <c r="G258" s="105">
        <v>0</v>
      </c>
    </row>
    <row r="259" spans="1:7" ht="19.5" customHeight="1" x14ac:dyDescent="0.4">
      <c r="B259" s="182" t="s">
        <v>428</v>
      </c>
      <c r="C259" s="201" t="s">
        <v>16</v>
      </c>
      <c r="D259" s="160" t="s">
        <v>34</v>
      </c>
      <c r="E259" s="7">
        <v>20390</v>
      </c>
      <c r="F259" s="118">
        <f>SUM(G259)</f>
        <v>0</v>
      </c>
      <c r="G259" s="107">
        <v>0</v>
      </c>
    </row>
    <row r="260" spans="1:7" ht="19.5" customHeight="1" thickBot="1" x14ac:dyDescent="0.45">
      <c r="B260" s="183" t="s">
        <v>428</v>
      </c>
      <c r="C260" s="202" t="s">
        <v>16</v>
      </c>
      <c r="D260" s="158" t="s">
        <v>295</v>
      </c>
      <c r="E260" s="17">
        <v>17690</v>
      </c>
      <c r="F260" s="110">
        <v>1</v>
      </c>
      <c r="G260" s="106">
        <v>1</v>
      </c>
    </row>
    <row r="261" spans="1:7" ht="19.5" customHeight="1" thickBot="1" x14ac:dyDescent="0.45"/>
    <row r="262" spans="1:7" x14ac:dyDescent="0.4">
      <c r="A262" s="8">
        <v>37</v>
      </c>
      <c r="B262" s="181" t="s">
        <v>427</v>
      </c>
      <c r="C262" s="209" t="s">
        <v>38</v>
      </c>
      <c r="D262" s="156" t="s">
        <v>32</v>
      </c>
      <c r="E262" s="13">
        <v>27690</v>
      </c>
      <c r="F262" s="108">
        <f>SUM(G262)</f>
        <v>1</v>
      </c>
      <c r="G262" s="104">
        <v>1</v>
      </c>
    </row>
    <row r="263" spans="1:7" x14ac:dyDescent="0.4">
      <c r="B263" s="182" t="s">
        <v>427</v>
      </c>
      <c r="C263" s="201" t="s">
        <v>38</v>
      </c>
      <c r="D263" s="165" t="s">
        <v>33</v>
      </c>
      <c r="E263" s="11">
        <v>27690</v>
      </c>
      <c r="F263" s="109">
        <f>SUM(G263)</f>
        <v>0</v>
      </c>
      <c r="G263" s="105">
        <v>0</v>
      </c>
    </row>
    <row r="264" spans="1:7" ht="19.5" customHeight="1" thickBot="1" x14ac:dyDescent="0.45">
      <c r="B264" s="183" t="s">
        <v>427</v>
      </c>
      <c r="C264" s="202" t="s">
        <v>38</v>
      </c>
      <c r="D264" s="158" t="s">
        <v>34</v>
      </c>
      <c r="E264" s="55">
        <v>27690</v>
      </c>
      <c r="F264" s="110">
        <f>SUM(G264)</f>
        <v>0</v>
      </c>
      <c r="G264" s="106">
        <v>0</v>
      </c>
    </row>
    <row r="265" spans="1:7" ht="19.5" customHeight="1" thickBot="1" x14ac:dyDescent="0.45"/>
    <row r="266" spans="1:7" x14ac:dyDescent="0.4">
      <c r="A266" s="8">
        <v>38</v>
      </c>
      <c r="B266" s="181" t="s">
        <v>538</v>
      </c>
      <c r="C266" s="214" t="s">
        <v>16</v>
      </c>
      <c r="D266" s="156" t="s">
        <v>660</v>
      </c>
      <c r="E266" s="13">
        <v>16690</v>
      </c>
      <c r="F266" s="108">
        <f t="shared" ref="F266:F273" si="28">SUM(G266)</f>
        <v>0</v>
      </c>
      <c r="G266" s="104">
        <v>0</v>
      </c>
    </row>
    <row r="267" spans="1:7" x14ac:dyDescent="0.4">
      <c r="B267" s="182" t="s">
        <v>538</v>
      </c>
      <c r="C267" s="201" t="s">
        <v>16</v>
      </c>
      <c r="D267" s="157" t="s">
        <v>294</v>
      </c>
      <c r="E267" s="6">
        <v>16690</v>
      </c>
      <c r="F267" s="109">
        <f t="shared" si="28"/>
        <v>0</v>
      </c>
      <c r="G267" s="105">
        <v>0</v>
      </c>
    </row>
    <row r="268" spans="1:7" x14ac:dyDescent="0.4">
      <c r="B268" s="182" t="s">
        <v>538</v>
      </c>
      <c r="C268" s="201" t="s">
        <v>16</v>
      </c>
      <c r="D268" s="157" t="s">
        <v>342</v>
      </c>
      <c r="E268" s="6">
        <v>16690</v>
      </c>
      <c r="F268" s="109">
        <f t="shared" si="28"/>
        <v>0</v>
      </c>
      <c r="G268" s="105">
        <v>0</v>
      </c>
    </row>
    <row r="269" spans="1:7" x14ac:dyDescent="0.4">
      <c r="B269" s="182" t="s">
        <v>538</v>
      </c>
      <c r="C269" s="201" t="s">
        <v>16</v>
      </c>
      <c r="D269" s="157" t="s">
        <v>264</v>
      </c>
      <c r="E269" s="6">
        <v>17790</v>
      </c>
      <c r="F269" s="109">
        <f t="shared" si="28"/>
        <v>1</v>
      </c>
      <c r="G269" s="105">
        <v>1</v>
      </c>
    </row>
    <row r="270" spans="1:7" x14ac:dyDescent="0.4">
      <c r="B270" s="182" t="s">
        <v>538</v>
      </c>
      <c r="C270" s="201" t="s">
        <v>16</v>
      </c>
      <c r="D270" s="157" t="s">
        <v>9</v>
      </c>
      <c r="E270" s="6">
        <v>16690</v>
      </c>
      <c r="F270" s="109">
        <f t="shared" si="28"/>
        <v>0</v>
      </c>
      <c r="G270" s="105">
        <v>0</v>
      </c>
    </row>
    <row r="271" spans="1:7" x14ac:dyDescent="0.4">
      <c r="B271" s="182" t="s">
        <v>538</v>
      </c>
      <c r="C271" s="201" t="s">
        <v>16</v>
      </c>
      <c r="D271" s="157" t="s">
        <v>295</v>
      </c>
      <c r="E271" s="6">
        <v>16690</v>
      </c>
      <c r="F271" s="109">
        <f t="shared" si="28"/>
        <v>0</v>
      </c>
      <c r="G271" s="105">
        <v>0</v>
      </c>
    </row>
    <row r="272" spans="1:7" x14ac:dyDescent="0.4">
      <c r="B272" s="182" t="s">
        <v>538</v>
      </c>
      <c r="C272" s="201" t="s">
        <v>16</v>
      </c>
      <c r="D272" s="157" t="s">
        <v>343</v>
      </c>
      <c r="E272" s="6">
        <v>16690</v>
      </c>
      <c r="F272" s="109">
        <f t="shared" si="28"/>
        <v>0</v>
      </c>
      <c r="G272" s="105">
        <v>0</v>
      </c>
    </row>
    <row r="273" spans="1:7" ht="19.5" customHeight="1" thickBot="1" x14ac:dyDescent="0.45">
      <c r="B273" s="183" t="s">
        <v>538</v>
      </c>
      <c r="C273" s="202" t="s">
        <v>16</v>
      </c>
      <c r="D273" s="158" t="s">
        <v>293</v>
      </c>
      <c r="E273" s="17">
        <v>16690</v>
      </c>
      <c r="F273" s="110">
        <f t="shared" si="28"/>
        <v>0</v>
      </c>
      <c r="G273" s="106">
        <v>0</v>
      </c>
    </row>
    <row r="274" spans="1:7" ht="19.5" customHeight="1" thickBot="1" x14ac:dyDescent="0.45"/>
    <row r="275" spans="1:7" s="150" customFormat="1" ht="26.25" customHeight="1" thickBot="1" x14ac:dyDescent="0.45">
      <c r="A275" s="146">
        <v>39</v>
      </c>
      <c r="B275" s="190" t="s">
        <v>537</v>
      </c>
      <c r="C275" s="215" t="s">
        <v>12</v>
      </c>
      <c r="D275" s="171" t="s">
        <v>32</v>
      </c>
      <c r="E275" s="147">
        <v>20690</v>
      </c>
      <c r="F275" s="148">
        <f>SUM(G275)</f>
        <v>0</v>
      </c>
      <c r="G275" s="149">
        <v>0</v>
      </c>
    </row>
    <row r="276" spans="1:7" ht="19.5" customHeight="1" thickBot="1" x14ac:dyDescent="0.45"/>
    <row r="277" spans="1:7" ht="19.5" customHeight="1" x14ac:dyDescent="0.4">
      <c r="A277" s="8">
        <v>40</v>
      </c>
      <c r="B277" s="181" t="s">
        <v>426</v>
      </c>
      <c r="C277" s="216" t="s">
        <v>348</v>
      </c>
      <c r="D277" s="156" t="s">
        <v>264</v>
      </c>
      <c r="E277" s="13">
        <v>25790</v>
      </c>
      <c r="F277" s="108">
        <f>SUM(G277)</f>
        <v>0</v>
      </c>
      <c r="G277" s="104">
        <v>0</v>
      </c>
    </row>
    <row r="278" spans="1:7" ht="19.5" customHeight="1" thickBot="1" x14ac:dyDescent="0.45">
      <c r="B278" s="183" t="s">
        <v>426</v>
      </c>
      <c r="C278" s="223" t="s">
        <v>348</v>
      </c>
      <c r="D278" s="158" t="s">
        <v>349</v>
      </c>
      <c r="E278" s="17">
        <v>24690</v>
      </c>
      <c r="F278" s="110">
        <f>SUM(G278)</f>
        <v>1</v>
      </c>
      <c r="G278" s="106">
        <v>1</v>
      </c>
    </row>
    <row r="279" spans="1:7" ht="19.5" customHeight="1" thickBot="1" x14ac:dyDescent="0.45"/>
    <row r="280" spans="1:7" x14ac:dyDescent="0.4">
      <c r="A280" s="8">
        <v>41</v>
      </c>
      <c r="B280" s="181" t="s">
        <v>425</v>
      </c>
      <c r="C280" s="216" t="s">
        <v>12</v>
      </c>
      <c r="D280" s="168" t="s">
        <v>293</v>
      </c>
      <c r="E280" s="13">
        <v>15390</v>
      </c>
      <c r="F280" s="108">
        <f t="shared" ref="F280:F287" si="29">SUM(G280)</f>
        <v>0</v>
      </c>
      <c r="G280" s="104">
        <v>0</v>
      </c>
    </row>
    <row r="281" spans="1:7" x14ac:dyDescent="0.4">
      <c r="B281" s="182" t="s">
        <v>425</v>
      </c>
      <c r="C281" s="213" t="s">
        <v>12</v>
      </c>
      <c r="D281" s="169" t="s">
        <v>294</v>
      </c>
      <c r="E281" s="6">
        <v>15390</v>
      </c>
      <c r="F281" s="109">
        <f t="shared" si="29"/>
        <v>0</v>
      </c>
      <c r="G281" s="105">
        <v>0</v>
      </c>
    </row>
    <row r="282" spans="1:7" x14ac:dyDescent="0.4">
      <c r="B282" s="182" t="s">
        <v>425</v>
      </c>
      <c r="C282" s="213" t="s">
        <v>12</v>
      </c>
      <c r="D282" s="169" t="s">
        <v>347</v>
      </c>
      <c r="E282" s="6">
        <v>15390</v>
      </c>
      <c r="F282" s="109">
        <f t="shared" si="29"/>
        <v>1</v>
      </c>
      <c r="G282" s="105">
        <v>1</v>
      </c>
    </row>
    <row r="283" spans="1:7" x14ac:dyDescent="0.4">
      <c r="B283" s="182" t="s">
        <v>425</v>
      </c>
      <c r="C283" s="213" t="s">
        <v>12</v>
      </c>
      <c r="D283" s="169" t="s">
        <v>342</v>
      </c>
      <c r="E283" s="6">
        <v>15390</v>
      </c>
      <c r="F283" s="109">
        <f t="shared" si="29"/>
        <v>0</v>
      </c>
      <c r="G283" s="105">
        <v>0</v>
      </c>
    </row>
    <row r="284" spans="1:7" x14ac:dyDescent="0.4">
      <c r="B284" s="182" t="s">
        <v>425</v>
      </c>
      <c r="C284" s="213" t="s">
        <v>12</v>
      </c>
      <c r="D284" s="169" t="s">
        <v>295</v>
      </c>
      <c r="E284" s="6">
        <v>15390</v>
      </c>
      <c r="F284" s="109">
        <f t="shared" si="29"/>
        <v>0</v>
      </c>
      <c r="G284" s="105">
        <v>0</v>
      </c>
    </row>
    <row r="285" spans="1:7" x14ac:dyDescent="0.4">
      <c r="B285" s="182" t="s">
        <v>425</v>
      </c>
      <c r="C285" s="213" t="s">
        <v>12</v>
      </c>
      <c r="D285" s="169" t="s">
        <v>9</v>
      </c>
      <c r="E285" s="11">
        <v>18790</v>
      </c>
      <c r="F285" s="109">
        <f t="shared" si="29"/>
        <v>0</v>
      </c>
      <c r="G285" s="105">
        <v>0</v>
      </c>
    </row>
    <row r="286" spans="1:7" x14ac:dyDescent="0.4">
      <c r="B286" s="182" t="s">
        <v>425</v>
      </c>
      <c r="C286" s="213" t="s">
        <v>12</v>
      </c>
      <c r="D286" s="169" t="s">
        <v>343</v>
      </c>
      <c r="E286" s="11">
        <v>18790</v>
      </c>
      <c r="F286" s="109">
        <f t="shared" si="29"/>
        <v>0</v>
      </c>
      <c r="G286" s="105">
        <v>0</v>
      </c>
    </row>
    <row r="287" spans="1:7" ht="19.5" customHeight="1" thickBot="1" x14ac:dyDescent="0.45">
      <c r="B287" s="183" t="s">
        <v>425</v>
      </c>
      <c r="C287" s="210" t="s">
        <v>12</v>
      </c>
      <c r="D287" s="166" t="s">
        <v>32</v>
      </c>
      <c r="E287" s="17">
        <v>19290</v>
      </c>
      <c r="F287" s="110">
        <f t="shared" si="29"/>
        <v>0</v>
      </c>
      <c r="G287" s="106">
        <v>0</v>
      </c>
    </row>
    <row r="288" spans="1:7" ht="19.5" customHeight="1" thickBot="1" x14ac:dyDescent="0.45"/>
    <row r="289" spans="1:7" x14ac:dyDescent="0.4">
      <c r="A289" s="8">
        <v>42</v>
      </c>
      <c r="B289" s="181" t="s">
        <v>424</v>
      </c>
      <c r="C289" s="216" t="s">
        <v>29</v>
      </c>
      <c r="D289" s="168" t="s">
        <v>293</v>
      </c>
      <c r="E289" s="13">
        <v>15690</v>
      </c>
      <c r="F289" s="108">
        <f t="shared" ref="F289:F296" si="30">SUM(G289)</f>
        <v>0</v>
      </c>
      <c r="G289" s="104">
        <v>0</v>
      </c>
    </row>
    <row r="290" spans="1:7" x14ac:dyDescent="0.4">
      <c r="B290" s="182" t="s">
        <v>424</v>
      </c>
      <c r="C290" s="213" t="s">
        <v>29</v>
      </c>
      <c r="D290" s="169" t="s">
        <v>294</v>
      </c>
      <c r="E290" s="6">
        <v>15690</v>
      </c>
      <c r="F290" s="109">
        <f t="shared" si="30"/>
        <v>2</v>
      </c>
      <c r="G290" s="105">
        <v>2</v>
      </c>
    </row>
    <row r="291" spans="1:7" x14ac:dyDescent="0.4">
      <c r="B291" s="182" t="s">
        <v>424</v>
      </c>
      <c r="C291" s="213" t="s">
        <v>29</v>
      </c>
      <c r="D291" s="169" t="s">
        <v>347</v>
      </c>
      <c r="E291" s="6">
        <v>15690</v>
      </c>
      <c r="F291" s="109">
        <f t="shared" si="30"/>
        <v>1</v>
      </c>
      <c r="G291" s="105">
        <v>1</v>
      </c>
    </row>
    <row r="292" spans="1:7" x14ac:dyDescent="0.4">
      <c r="B292" s="182" t="s">
        <v>424</v>
      </c>
      <c r="C292" s="213" t="s">
        <v>29</v>
      </c>
      <c r="D292" s="169" t="s">
        <v>342</v>
      </c>
      <c r="E292" s="6">
        <v>15690</v>
      </c>
      <c r="F292" s="109">
        <f t="shared" si="30"/>
        <v>1</v>
      </c>
      <c r="G292" s="105">
        <v>1</v>
      </c>
    </row>
    <row r="293" spans="1:7" x14ac:dyDescent="0.4">
      <c r="B293" s="182" t="s">
        <v>424</v>
      </c>
      <c r="C293" s="213" t="s">
        <v>29</v>
      </c>
      <c r="D293" s="169" t="s">
        <v>295</v>
      </c>
      <c r="E293" s="6">
        <v>15690</v>
      </c>
      <c r="F293" s="109">
        <f t="shared" si="30"/>
        <v>1</v>
      </c>
      <c r="G293" s="105">
        <v>1</v>
      </c>
    </row>
    <row r="294" spans="1:7" x14ac:dyDescent="0.4">
      <c r="B294" s="182" t="s">
        <v>424</v>
      </c>
      <c r="C294" s="213" t="s">
        <v>29</v>
      </c>
      <c r="D294" s="169" t="s">
        <v>9</v>
      </c>
      <c r="E294" s="11">
        <v>19390</v>
      </c>
      <c r="F294" s="109">
        <f t="shared" si="30"/>
        <v>1</v>
      </c>
      <c r="G294" s="105">
        <v>1</v>
      </c>
    </row>
    <row r="295" spans="1:7" x14ac:dyDescent="0.4">
      <c r="B295" s="182" t="s">
        <v>424</v>
      </c>
      <c r="C295" s="213" t="s">
        <v>29</v>
      </c>
      <c r="D295" s="169" t="s">
        <v>343</v>
      </c>
      <c r="E295" s="11">
        <v>19390</v>
      </c>
      <c r="F295" s="109">
        <f t="shared" si="30"/>
        <v>1</v>
      </c>
      <c r="G295" s="105">
        <v>1</v>
      </c>
    </row>
    <row r="296" spans="1:7" ht="19.5" customHeight="1" thickBot="1" x14ac:dyDescent="0.45">
      <c r="B296" s="183" t="s">
        <v>424</v>
      </c>
      <c r="C296" s="210" t="s">
        <v>29</v>
      </c>
      <c r="D296" s="166" t="s">
        <v>32</v>
      </c>
      <c r="E296" s="17">
        <v>19890</v>
      </c>
      <c r="F296" s="110">
        <f t="shared" si="30"/>
        <v>3</v>
      </c>
      <c r="G296" s="106">
        <v>3</v>
      </c>
    </row>
    <row r="297" spans="1:7" ht="19.5" customHeight="1" thickBot="1" x14ac:dyDescent="0.45"/>
    <row r="298" spans="1:7" x14ac:dyDescent="0.4">
      <c r="A298" s="8">
        <v>43</v>
      </c>
      <c r="B298" s="181" t="s">
        <v>423</v>
      </c>
      <c r="C298" s="216" t="s">
        <v>16</v>
      </c>
      <c r="D298" s="168" t="s">
        <v>293</v>
      </c>
      <c r="E298" s="13">
        <v>16590</v>
      </c>
      <c r="F298" s="108">
        <f t="shared" ref="F298:F305" si="31">SUM(G298)</f>
        <v>3</v>
      </c>
      <c r="G298" s="104">
        <v>3</v>
      </c>
    </row>
    <row r="299" spans="1:7" x14ac:dyDescent="0.4">
      <c r="B299" s="182" t="s">
        <v>423</v>
      </c>
      <c r="C299" s="213" t="s">
        <v>16</v>
      </c>
      <c r="D299" s="169" t="s">
        <v>294</v>
      </c>
      <c r="E299" s="6">
        <v>16590</v>
      </c>
      <c r="F299" s="109">
        <f t="shared" si="31"/>
        <v>1</v>
      </c>
      <c r="G299" s="105">
        <v>1</v>
      </c>
    </row>
    <row r="300" spans="1:7" x14ac:dyDescent="0.4">
      <c r="B300" s="182" t="s">
        <v>423</v>
      </c>
      <c r="C300" s="213" t="s">
        <v>16</v>
      </c>
      <c r="D300" s="169" t="s">
        <v>347</v>
      </c>
      <c r="E300" s="6">
        <v>16590</v>
      </c>
      <c r="F300" s="109">
        <f t="shared" si="31"/>
        <v>0</v>
      </c>
      <c r="G300" s="105">
        <v>0</v>
      </c>
    </row>
    <row r="301" spans="1:7" x14ac:dyDescent="0.4">
      <c r="B301" s="182" t="s">
        <v>423</v>
      </c>
      <c r="C301" s="213" t="s">
        <v>16</v>
      </c>
      <c r="D301" s="169" t="s">
        <v>342</v>
      </c>
      <c r="E301" s="6">
        <v>16590</v>
      </c>
      <c r="F301" s="109">
        <f t="shared" si="31"/>
        <v>0</v>
      </c>
      <c r="G301" s="105">
        <v>0</v>
      </c>
    </row>
    <row r="302" spans="1:7" x14ac:dyDescent="0.4">
      <c r="B302" s="182" t="s">
        <v>423</v>
      </c>
      <c r="C302" s="213" t="s">
        <v>16</v>
      </c>
      <c r="D302" s="169" t="s">
        <v>295</v>
      </c>
      <c r="E302" s="6">
        <v>16590</v>
      </c>
      <c r="F302" s="109">
        <f t="shared" si="31"/>
        <v>1</v>
      </c>
      <c r="G302" s="105">
        <v>1</v>
      </c>
    </row>
    <row r="303" spans="1:7" x14ac:dyDescent="0.4">
      <c r="B303" s="182" t="s">
        <v>423</v>
      </c>
      <c r="C303" s="213" t="s">
        <v>16</v>
      </c>
      <c r="D303" s="169" t="s">
        <v>9</v>
      </c>
      <c r="E303" s="11">
        <v>19490</v>
      </c>
      <c r="F303" s="109">
        <f t="shared" si="31"/>
        <v>1</v>
      </c>
      <c r="G303" s="105">
        <v>1</v>
      </c>
    </row>
    <row r="304" spans="1:7" x14ac:dyDescent="0.4">
      <c r="B304" s="182" t="s">
        <v>423</v>
      </c>
      <c r="C304" s="213" t="s">
        <v>16</v>
      </c>
      <c r="D304" s="169" t="s">
        <v>343</v>
      </c>
      <c r="E304" s="11">
        <v>19490</v>
      </c>
      <c r="F304" s="109">
        <f t="shared" si="31"/>
        <v>1</v>
      </c>
      <c r="G304" s="105">
        <v>1</v>
      </c>
    </row>
    <row r="305" spans="1:7" ht="19.5" customHeight="1" thickBot="1" x14ac:dyDescent="0.45">
      <c r="B305" s="183" t="s">
        <v>423</v>
      </c>
      <c r="C305" s="210" t="s">
        <v>16</v>
      </c>
      <c r="D305" s="166" t="s">
        <v>32</v>
      </c>
      <c r="E305" s="17">
        <v>19890</v>
      </c>
      <c r="F305" s="110">
        <f t="shared" si="31"/>
        <v>3</v>
      </c>
      <c r="G305" s="106">
        <v>3</v>
      </c>
    </row>
    <row r="306" spans="1:7" ht="19.5" customHeight="1" thickBot="1" x14ac:dyDescent="0.45"/>
    <row r="307" spans="1:7" x14ac:dyDescent="0.4">
      <c r="A307" s="8">
        <v>44</v>
      </c>
      <c r="B307" s="181" t="s">
        <v>422</v>
      </c>
      <c r="C307" s="216" t="s">
        <v>12</v>
      </c>
      <c r="D307" s="168" t="s">
        <v>293</v>
      </c>
      <c r="E307" s="13">
        <v>15390</v>
      </c>
      <c r="F307" s="108">
        <f t="shared" ref="F307:F314" si="32">SUM(G307)</f>
        <v>0</v>
      </c>
      <c r="G307" s="104">
        <v>0</v>
      </c>
    </row>
    <row r="308" spans="1:7" x14ac:dyDescent="0.4">
      <c r="B308" s="182" t="s">
        <v>422</v>
      </c>
      <c r="C308" s="213" t="s">
        <v>12</v>
      </c>
      <c r="D308" s="169" t="s">
        <v>294</v>
      </c>
      <c r="E308" s="6">
        <v>15390</v>
      </c>
      <c r="F308" s="109">
        <f t="shared" si="32"/>
        <v>1</v>
      </c>
      <c r="G308" s="105">
        <v>1</v>
      </c>
    </row>
    <row r="309" spans="1:7" x14ac:dyDescent="0.4">
      <c r="B309" s="182" t="s">
        <v>422</v>
      </c>
      <c r="C309" s="213" t="s">
        <v>12</v>
      </c>
      <c r="D309" s="169" t="s">
        <v>347</v>
      </c>
      <c r="E309" s="6">
        <v>15390</v>
      </c>
      <c r="F309" s="109">
        <f t="shared" si="32"/>
        <v>3</v>
      </c>
      <c r="G309" s="105">
        <v>3</v>
      </c>
    </row>
    <row r="310" spans="1:7" x14ac:dyDescent="0.4">
      <c r="B310" s="182" t="s">
        <v>422</v>
      </c>
      <c r="C310" s="213" t="s">
        <v>12</v>
      </c>
      <c r="D310" s="169" t="s">
        <v>342</v>
      </c>
      <c r="E310" s="6">
        <v>15390</v>
      </c>
      <c r="F310" s="109">
        <f t="shared" si="32"/>
        <v>1</v>
      </c>
      <c r="G310" s="105">
        <v>1</v>
      </c>
    </row>
    <row r="311" spans="1:7" x14ac:dyDescent="0.4">
      <c r="B311" s="182" t="s">
        <v>422</v>
      </c>
      <c r="C311" s="213" t="s">
        <v>12</v>
      </c>
      <c r="D311" s="169" t="s">
        <v>295</v>
      </c>
      <c r="E311" s="6">
        <v>15390</v>
      </c>
      <c r="F311" s="109">
        <f t="shared" si="32"/>
        <v>1</v>
      </c>
      <c r="G311" s="105">
        <v>1</v>
      </c>
    </row>
    <row r="312" spans="1:7" x14ac:dyDescent="0.4">
      <c r="B312" s="182" t="s">
        <v>422</v>
      </c>
      <c r="C312" s="213" t="s">
        <v>12</v>
      </c>
      <c r="D312" s="169" t="s">
        <v>9</v>
      </c>
      <c r="E312" s="11">
        <v>19190</v>
      </c>
      <c r="F312" s="109">
        <f t="shared" si="32"/>
        <v>1</v>
      </c>
      <c r="G312" s="105">
        <v>1</v>
      </c>
    </row>
    <row r="313" spans="1:7" x14ac:dyDescent="0.4">
      <c r="B313" s="182" t="s">
        <v>422</v>
      </c>
      <c r="C313" s="213" t="s">
        <v>12</v>
      </c>
      <c r="D313" s="169" t="s">
        <v>343</v>
      </c>
      <c r="E313" s="11">
        <v>19190</v>
      </c>
      <c r="F313" s="109">
        <f t="shared" si="32"/>
        <v>2</v>
      </c>
      <c r="G313" s="105">
        <v>2</v>
      </c>
    </row>
    <row r="314" spans="1:7" ht="19.5" customHeight="1" thickBot="1" x14ac:dyDescent="0.45">
      <c r="B314" s="183" t="s">
        <v>422</v>
      </c>
      <c r="C314" s="210" t="s">
        <v>12</v>
      </c>
      <c r="D314" s="166" t="s">
        <v>32</v>
      </c>
      <c r="E314" s="17">
        <v>19690</v>
      </c>
      <c r="F314" s="110">
        <f t="shared" si="32"/>
        <v>1</v>
      </c>
      <c r="G314" s="106">
        <v>1</v>
      </c>
    </row>
    <row r="315" spans="1:7" ht="19.5" customHeight="1" thickBot="1" x14ac:dyDescent="0.45"/>
    <row r="316" spans="1:7" x14ac:dyDescent="0.4">
      <c r="A316" s="8">
        <v>45</v>
      </c>
      <c r="B316" s="181" t="s">
        <v>40</v>
      </c>
      <c r="C316" s="209" t="s">
        <v>39</v>
      </c>
      <c r="D316" s="168" t="s">
        <v>293</v>
      </c>
      <c r="E316" s="13">
        <v>17790</v>
      </c>
      <c r="F316" s="108">
        <f t="shared" ref="F316:F323" si="33">SUM(G316)</f>
        <v>1</v>
      </c>
      <c r="G316" s="104">
        <v>1</v>
      </c>
    </row>
    <row r="317" spans="1:7" x14ac:dyDescent="0.4">
      <c r="B317" s="182" t="s">
        <v>40</v>
      </c>
      <c r="C317" s="212" t="s">
        <v>39</v>
      </c>
      <c r="D317" s="169" t="s">
        <v>294</v>
      </c>
      <c r="E317" s="6">
        <v>17790</v>
      </c>
      <c r="F317" s="109">
        <f t="shared" si="33"/>
        <v>1</v>
      </c>
      <c r="G317" s="105">
        <v>1</v>
      </c>
    </row>
    <row r="318" spans="1:7" x14ac:dyDescent="0.4">
      <c r="B318" s="182" t="s">
        <v>40</v>
      </c>
      <c r="C318" s="213" t="s">
        <v>39</v>
      </c>
      <c r="D318" s="169" t="s">
        <v>347</v>
      </c>
      <c r="E318" s="6">
        <v>17790</v>
      </c>
      <c r="F318" s="109">
        <f t="shared" si="33"/>
        <v>1</v>
      </c>
      <c r="G318" s="105">
        <v>1</v>
      </c>
    </row>
    <row r="319" spans="1:7" x14ac:dyDescent="0.4">
      <c r="B319" s="182" t="s">
        <v>40</v>
      </c>
      <c r="C319" s="213" t="s">
        <v>39</v>
      </c>
      <c r="D319" s="169" t="s">
        <v>342</v>
      </c>
      <c r="E319" s="6">
        <v>17790</v>
      </c>
      <c r="F319" s="109">
        <f t="shared" si="33"/>
        <v>1</v>
      </c>
      <c r="G319" s="107">
        <v>1</v>
      </c>
    </row>
    <row r="320" spans="1:7" x14ac:dyDescent="0.4">
      <c r="B320" s="182" t="s">
        <v>40</v>
      </c>
      <c r="C320" s="213" t="s">
        <v>39</v>
      </c>
      <c r="D320" s="169" t="s">
        <v>295</v>
      </c>
      <c r="E320" s="6">
        <v>17790</v>
      </c>
      <c r="F320" s="109">
        <f t="shared" si="33"/>
        <v>2</v>
      </c>
      <c r="G320" s="107">
        <v>2</v>
      </c>
    </row>
    <row r="321" spans="1:7" x14ac:dyDescent="0.4">
      <c r="B321" s="182" t="s">
        <v>40</v>
      </c>
      <c r="C321" s="213" t="s">
        <v>39</v>
      </c>
      <c r="D321" s="169" t="s">
        <v>9</v>
      </c>
      <c r="E321" s="11">
        <v>21990</v>
      </c>
      <c r="F321" s="109">
        <f t="shared" si="33"/>
        <v>1</v>
      </c>
      <c r="G321" s="107">
        <v>1</v>
      </c>
    </row>
    <row r="322" spans="1:7" x14ac:dyDescent="0.4">
      <c r="B322" s="182" t="s">
        <v>40</v>
      </c>
      <c r="C322" s="213" t="s">
        <v>39</v>
      </c>
      <c r="D322" s="169" t="s">
        <v>343</v>
      </c>
      <c r="E322" s="11">
        <v>21990</v>
      </c>
      <c r="F322" s="109">
        <f t="shared" si="33"/>
        <v>1</v>
      </c>
      <c r="G322" s="107">
        <v>1</v>
      </c>
    </row>
    <row r="323" spans="1:7" ht="19.5" customHeight="1" thickBot="1" x14ac:dyDescent="0.45">
      <c r="B323" s="183" t="s">
        <v>40</v>
      </c>
      <c r="C323" s="210" t="s">
        <v>39</v>
      </c>
      <c r="D323" s="166" t="s">
        <v>32</v>
      </c>
      <c r="E323" s="17">
        <v>22390</v>
      </c>
      <c r="F323" s="110">
        <f t="shared" si="33"/>
        <v>2</v>
      </c>
      <c r="G323" s="106">
        <v>2</v>
      </c>
    </row>
    <row r="324" spans="1:7" ht="19.5" customHeight="1" thickBot="1" x14ac:dyDescent="0.45"/>
    <row r="325" spans="1:7" ht="19.5" customHeight="1" thickBot="1" x14ac:dyDescent="0.45">
      <c r="A325" s="8">
        <v>46</v>
      </c>
      <c r="B325" s="181" t="s">
        <v>41</v>
      </c>
      <c r="C325" s="209" t="s">
        <v>42</v>
      </c>
      <c r="D325" s="168" t="s">
        <v>293</v>
      </c>
      <c r="E325" s="13">
        <v>22390</v>
      </c>
      <c r="F325" s="108">
        <f t="shared" ref="F325:F332" si="34">SUM(G325)</f>
        <v>0</v>
      </c>
      <c r="G325" s="104">
        <v>0</v>
      </c>
    </row>
    <row r="326" spans="1:7" x14ac:dyDescent="0.4">
      <c r="B326" s="182" t="s">
        <v>41</v>
      </c>
      <c r="C326" s="212" t="s">
        <v>42</v>
      </c>
      <c r="D326" s="170" t="s">
        <v>294</v>
      </c>
      <c r="E326" s="56">
        <v>22390</v>
      </c>
      <c r="F326" s="118">
        <f t="shared" si="34"/>
        <v>1</v>
      </c>
      <c r="G326" s="107">
        <v>1</v>
      </c>
    </row>
    <row r="327" spans="1:7" x14ac:dyDescent="0.4">
      <c r="B327" s="182" t="s">
        <v>41</v>
      </c>
      <c r="C327" s="213" t="s">
        <v>42</v>
      </c>
      <c r="D327" s="159" t="s">
        <v>347</v>
      </c>
      <c r="E327" s="6">
        <v>22390</v>
      </c>
      <c r="F327" s="118">
        <f t="shared" si="34"/>
        <v>0</v>
      </c>
      <c r="G327" s="109">
        <v>0</v>
      </c>
    </row>
    <row r="328" spans="1:7" x14ac:dyDescent="0.4">
      <c r="B328" s="182" t="s">
        <v>41</v>
      </c>
      <c r="C328" s="213" t="s">
        <v>42</v>
      </c>
      <c r="D328" s="169" t="s">
        <v>342</v>
      </c>
      <c r="E328" s="6">
        <v>22390</v>
      </c>
      <c r="F328" s="118">
        <f t="shared" si="34"/>
        <v>0</v>
      </c>
      <c r="G328" s="109">
        <v>0</v>
      </c>
    </row>
    <row r="329" spans="1:7" x14ac:dyDescent="0.4">
      <c r="B329" s="182" t="s">
        <v>41</v>
      </c>
      <c r="C329" s="213" t="s">
        <v>42</v>
      </c>
      <c r="D329" s="169" t="s">
        <v>295</v>
      </c>
      <c r="E329" s="6">
        <v>22390</v>
      </c>
      <c r="F329" s="118">
        <f t="shared" si="34"/>
        <v>1</v>
      </c>
      <c r="G329" s="109">
        <v>1</v>
      </c>
    </row>
    <row r="330" spans="1:7" x14ac:dyDescent="0.4">
      <c r="B330" s="182" t="s">
        <v>41</v>
      </c>
      <c r="C330" s="213" t="s">
        <v>42</v>
      </c>
      <c r="D330" s="169" t="s">
        <v>9</v>
      </c>
      <c r="E330" s="6">
        <v>25790</v>
      </c>
      <c r="F330" s="118">
        <f t="shared" si="34"/>
        <v>3</v>
      </c>
      <c r="G330" s="109">
        <v>3</v>
      </c>
    </row>
    <row r="331" spans="1:7" x14ac:dyDescent="0.4">
      <c r="B331" s="182" t="s">
        <v>41</v>
      </c>
      <c r="C331" s="213" t="s">
        <v>42</v>
      </c>
      <c r="D331" s="169" t="s">
        <v>343</v>
      </c>
      <c r="E331" s="6">
        <v>25790</v>
      </c>
      <c r="F331" s="118">
        <f t="shared" si="34"/>
        <v>1</v>
      </c>
      <c r="G331" s="109">
        <v>1</v>
      </c>
    </row>
    <row r="332" spans="1:7" ht="19.5" customHeight="1" thickBot="1" x14ac:dyDescent="0.45">
      <c r="B332" s="183" t="s">
        <v>41</v>
      </c>
      <c r="C332" s="210" t="s">
        <v>42</v>
      </c>
      <c r="D332" s="166" t="s">
        <v>32</v>
      </c>
      <c r="E332" s="55">
        <v>26190</v>
      </c>
      <c r="F332" s="110">
        <f t="shared" si="34"/>
        <v>1</v>
      </c>
      <c r="G332" s="112">
        <v>1</v>
      </c>
    </row>
    <row r="333" spans="1:7" ht="19.5" customHeight="1" thickBot="1" x14ac:dyDescent="0.45">
      <c r="A333" s="8" t="s">
        <v>285</v>
      </c>
    </row>
    <row r="334" spans="1:7" ht="19.5" customHeight="1" thickBot="1" x14ac:dyDescent="0.45">
      <c r="A334" s="8">
        <v>47</v>
      </c>
      <c r="B334" s="181" t="s">
        <v>421</v>
      </c>
      <c r="C334" s="216" t="s">
        <v>16</v>
      </c>
      <c r="D334" s="168" t="s">
        <v>293</v>
      </c>
      <c r="E334" s="13">
        <v>16690</v>
      </c>
      <c r="F334" s="108">
        <f t="shared" ref="F334:F341" si="35">SUM(G334)</f>
        <v>0</v>
      </c>
      <c r="G334" s="104">
        <v>0</v>
      </c>
    </row>
    <row r="335" spans="1:7" ht="19.5" customHeight="1" thickBot="1" x14ac:dyDescent="0.45">
      <c r="B335" s="182" t="s">
        <v>421</v>
      </c>
      <c r="C335" s="213" t="s">
        <v>16</v>
      </c>
      <c r="D335" s="169" t="s">
        <v>294</v>
      </c>
      <c r="E335" s="13">
        <v>16690</v>
      </c>
      <c r="F335" s="109">
        <f t="shared" si="35"/>
        <v>0</v>
      </c>
      <c r="G335" s="105">
        <v>0</v>
      </c>
    </row>
    <row r="336" spans="1:7" x14ac:dyDescent="0.4">
      <c r="B336" s="182" t="s">
        <v>421</v>
      </c>
      <c r="C336" s="213" t="s">
        <v>16</v>
      </c>
      <c r="D336" s="170" t="s">
        <v>347</v>
      </c>
      <c r="E336" s="56">
        <v>16690</v>
      </c>
      <c r="F336" s="109">
        <f t="shared" si="35"/>
        <v>0</v>
      </c>
      <c r="G336" s="105">
        <v>0</v>
      </c>
    </row>
    <row r="337" spans="1:7" x14ac:dyDescent="0.4">
      <c r="B337" s="182" t="s">
        <v>421</v>
      </c>
      <c r="C337" s="213" t="s">
        <v>16</v>
      </c>
      <c r="D337" s="169" t="s">
        <v>342</v>
      </c>
      <c r="E337" s="6">
        <v>16690</v>
      </c>
      <c r="F337" s="109">
        <f t="shared" si="35"/>
        <v>0</v>
      </c>
      <c r="G337" s="105">
        <v>0</v>
      </c>
    </row>
    <row r="338" spans="1:7" x14ac:dyDescent="0.4">
      <c r="B338" s="182" t="s">
        <v>421</v>
      </c>
      <c r="C338" s="213" t="s">
        <v>16</v>
      </c>
      <c r="D338" s="172" t="s">
        <v>295</v>
      </c>
      <c r="E338" s="6">
        <v>16690</v>
      </c>
      <c r="F338" s="109">
        <f t="shared" si="35"/>
        <v>0</v>
      </c>
      <c r="G338" s="105">
        <v>0</v>
      </c>
    </row>
    <row r="339" spans="1:7" x14ac:dyDescent="0.4">
      <c r="B339" s="182" t="s">
        <v>421</v>
      </c>
      <c r="C339" s="213" t="s">
        <v>16</v>
      </c>
      <c r="D339" s="173" t="s">
        <v>9</v>
      </c>
      <c r="E339" s="6">
        <v>19390</v>
      </c>
      <c r="F339" s="109">
        <f t="shared" si="35"/>
        <v>0</v>
      </c>
      <c r="G339" s="105">
        <v>0</v>
      </c>
    </row>
    <row r="340" spans="1:7" x14ac:dyDescent="0.4">
      <c r="B340" s="182" t="s">
        <v>421</v>
      </c>
      <c r="C340" s="213" t="s">
        <v>16</v>
      </c>
      <c r="D340" s="169" t="s">
        <v>343</v>
      </c>
      <c r="E340" s="6">
        <v>19390</v>
      </c>
      <c r="F340" s="109">
        <f t="shared" si="35"/>
        <v>0</v>
      </c>
      <c r="G340" s="105">
        <v>0</v>
      </c>
    </row>
    <row r="341" spans="1:7" ht="19.5" customHeight="1" thickBot="1" x14ac:dyDescent="0.45">
      <c r="B341" s="183" t="s">
        <v>421</v>
      </c>
      <c r="C341" s="210" t="s">
        <v>16</v>
      </c>
      <c r="D341" s="166" t="s">
        <v>32</v>
      </c>
      <c r="E341" s="55">
        <v>19890</v>
      </c>
      <c r="F341" s="110">
        <f t="shared" si="35"/>
        <v>0</v>
      </c>
      <c r="G341" s="106">
        <v>0</v>
      </c>
    </row>
    <row r="342" spans="1:7" ht="19.5" customHeight="1" thickBot="1" x14ac:dyDescent="0.45"/>
    <row r="343" spans="1:7" ht="19.5" customHeight="1" thickBot="1" x14ac:dyDescent="0.45">
      <c r="A343" s="8">
        <v>48</v>
      </c>
      <c r="B343" s="181" t="s">
        <v>420</v>
      </c>
      <c r="C343" s="216" t="s">
        <v>38</v>
      </c>
      <c r="D343" s="168" t="s">
        <v>293</v>
      </c>
      <c r="E343" s="13">
        <v>22790</v>
      </c>
      <c r="F343" s="108">
        <f t="shared" ref="F343:F350" si="36">SUM(G343)</f>
        <v>0</v>
      </c>
      <c r="G343" s="104">
        <v>0</v>
      </c>
    </row>
    <row r="344" spans="1:7" ht="19.5" customHeight="1" thickBot="1" x14ac:dyDescent="0.45">
      <c r="B344" s="182" t="s">
        <v>420</v>
      </c>
      <c r="C344" s="213" t="s">
        <v>38</v>
      </c>
      <c r="D344" s="169" t="s">
        <v>294</v>
      </c>
      <c r="E344" s="13">
        <v>22790</v>
      </c>
      <c r="F344" s="109">
        <f t="shared" si="36"/>
        <v>0</v>
      </c>
      <c r="G344" s="105">
        <v>0</v>
      </c>
    </row>
    <row r="345" spans="1:7" x14ac:dyDescent="0.4">
      <c r="B345" s="182" t="s">
        <v>420</v>
      </c>
      <c r="C345" s="213" t="s">
        <v>38</v>
      </c>
      <c r="D345" s="170" t="s">
        <v>347</v>
      </c>
      <c r="E345" s="56">
        <v>22790</v>
      </c>
      <c r="F345" s="109">
        <f t="shared" si="36"/>
        <v>0</v>
      </c>
      <c r="G345" s="105">
        <v>0</v>
      </c>
    </row>
    <row r="346" spans="1:7" x14ac:dyDescent="0.4">
      <c r="B346" s="182" t="s">
        <v>420</v>
      </c>
      <c r="C346" s="213" t="s">
        <v>38</v>
      </c>
      <c r="D346" s="169" t="s">
        <v>342</v>
      </c>
      <c r="E346" s="6">
        <v>22790</v>
      </c>
      <c r="F346" s="109">
        <f t="shared" si="36"/>
        <v>0</v>
      </c>
      <c r="G346" s="105">
        <v>0</v>
      </c>
    </row>
    <row r="347" spans="1:7" x14ac:dyDescent="0.4">
      <c r="B347" s="182" t="s">
        <v>420</v>
      </c>
      <c r="C347" s="213" t="s">
        <v>38</v>
      </c>
      <c r="D347" s="172" t="s">
        <v>295</v>
      </c>
      <c r="E347" s="6">
        <v>22790</v>
      </c>
      <c r="F347" s="109">
        <f t="shared" si="36"/>
        <v>0</v>
      </c>
      <c r="G347" s="105">
        <v>0</v>
      </c>
    </row>
    <row r="348" spans="1:7" x14ac:dyDescent="0.4">
      <c r="B348" s="182" t="s">
        <v>420</v>
      </c>
      <c r="C348" s="213" t="s">
        <v>38</v>
      </c>
      <c r="D348" s="173" t="s">
        <v>9</v>
      </c>
      <c r="E348" s="6">
        <v>26090</v>
      </c>
      <c r="F348" s="109">
        <f t="shared" si="36"/>
        <v>0</v>
      </c>
      <c r="G348" s="105">
        <v>0</v>
      </c>
    </row>
    <row r="349" spans="1:7" x14ac:dyDescent="0.4">
      <c r="B349" s="182" t="s">
        <v>420</v>
      </c>
      <c r="C349" s="213" t="s">
        <v>38</v>
      </c>
      <c r="D349" s="169" t="s">
        <v>343</v>
      </c>
      <c r="E349" s="6">
        <v>26090</v>
      </c>
      <c r="F349" s="109">
        <f t="shared" si="36"/>
        <v>0</v>
      </c>
      <c r="G349" s="105">
        <v>0</v>
      </c>
    </row>
    <row r="350" spans="1:7" ht="19.5" customHeight="1" thickBot="1" x14ac:dyDescent="0.45">
      <c r="B350" s="183" t="s">
        <v>420</v>
      </c>
      <c r="C350" s="210" t="s">
        <v>38</v>
      </c>
      <c r="D350" s="166" t="s">
        <v>32</v>
      </c>
      <c r="E350" s="55">
        <v>26390</v>
      </c>
      <c r="F350" s="110">
        <f t="shared" si="36"/>
        <v>1</v>
      </c>
      <c r="G350" s="106">
        <v>1</v>
      </c>
    </row>
    <row r="351" spans="1:7" ht="19.5" customHeight="1" thickBot="1" x14ac:dyDescent="0.45"/>
    <row r="352" spans="1:7" ht="19.5" customHeight="1" thickBot="1" x14ac:dyDescent="0.45">
      <c r="A352" s="8">
        <v>49</v>
      </c>
      <c r="B352" s="181" t="s">
        <v>419</v>
      </c>
      <c r="C352" s="216" t="s">
        <v>15</v>
      </c>
      <c r="D352" s="168" t="s">
        <v>293</v>
      </c>
      <c r="E352" s="13">
        <v>14990</v>
      </c>
      <c r="F352" s="108">
        <f t="shared" ref="F352:F359" si="37">SUM(G352)</f>
        <v>0</v>
      </c>
      <c r="G352" s="104">
        <v>0</v>
      </c>
    </row>
    <row r="353" spans="1:7" ht="19.5" customHeight="1" thickBot="1" x14ac:dyDescent="0.45">
      <c r="B353" s="182" t="s">
        <v>419</v>
      </c>
      <c r="C353" s="213" t="s">
        <v>15</v>
      </c>
      <c r="D353" s="169" t="s">
        <v>294</v>
      </c>
      <c r="E353" s="13">
        <v>14990</v>
      </c>
      <c r="F353" s="109">
        <f t="shared" si="37"/>
        <v>0</v>
      </c>
      <c r="G353" s="105">
        <v>0</v>
      </c>
    </row>
    <row r="354" spans="1:7" x14ac:dyDescent="0.4">
      <c r="B354" s="182" t="s">
        <v>419</v>
      </c>
      <c r="C354" s="213" t="s">
        <v>15</v>
      </c>
      <c r="D354" s="170" t="s">
        <v>347</v>
      </c>
      <c r="E354" s="56">
        <v>14990</v>
      </c>
      <c r="F354" s="109">
        <f t="shared" si="37"/>
        <v>0</v>
      </c>
      <c r="G354" s="105">
        <v>0</v>
      </c>
    </row>
    <row r="355" spans="1:7" x14ac:dyDescent="0.4">
      <c r="B355" s="182" t="s">
        <v>419</v>
      </c>
      <c r="C355" s="213" t="s">
        <v>15</v>
      </c>
      <c r="D355" s="169" t="s">
        <v>342</v>
      </c>
      <c r="E355" s="6">
        <v>14990</v>
      </c>
      <c r="F355" s="109">
        <f t="shared" si="37"/>
        <v>0</v>
      </c>
      <c r="G355" s="105">
        <v>0</v>
      </c>
    </row>
    <row r="356" spans="1:7" x14ac:dyDescent="0.4">
      <c r="B356" s="182" t="s">
        <v>419</v>
      </c>
      <c r="C356" s="213" t="s">
        <v>15</v>
      </c>
      <c r="D356" s="172" t="s">
        <v>295</v>
      </c>
      <c r="E356" s="6">
        <v>14990</v>
      </c>
      <c r="F356" s="109">
        <f t="shared" si="37"/>
        <v>0</v>
      </c>
      <c r="G356" s="105">
        <v>0</v>
      </c>
    </row>
    <row r="357" spans="1:7" x14ac:dyDescent="0.4">
      <c r="B357" s="182" t="s">
        <v>419</v>
      </c>
      <c r="C357" s="213" t="s">
        <v>15</v>
      </c>
      <c r="D357" s="173" t="s">
        <v>9</v>
      </c>
      <c r="E357" s="6">
        <v>16290</v>
      </c>
      <c r="F357" s="109">
        <f t="shared" si="37"/>
        <v>1</v>
      </c>
      <c r="G357" s="105">
        <v>1</v>
      </c>
    </row>
    <row r="358" spans="1:7" x14ac:dyDescent="0.4">
      <c r="B358" s="182" t="s">
        <v>419</v>
      </c>
      <c r="C358" s="213" t="s">
        <v>15</v>
      </c>
      <c r="D358" s="169" t="s">
        <v>343</v>
      </c>
      <c r="E358" s="6">
        <v>16290</v>
      </c>
      <c r="F358" s="109">
        <f t="shared" si="37"/>
        <v>0</v>
      </c>
      <c r="G358" s="105">
        <v>0</v>
      </c>
    </row>
    <row r="359" spans="1:7" ht="19.5" customHeight="1" thickBot="1" x14ac:dyDescent="0.45">
      <c r="B359" s="183" t="s">
        <v>419</v>
      </c>
      <c r="C359" s="210" t="s">
        <v>15</v>
      </c>
      <c r="D359" s="166" t="s">
        <v>32</v>
      </c>
      <c r="E359" s="55">
        <v>16790</v>
      </c>
      <c r="F359" s="110">
        <f t="shared" si="37"/>
        <v>2</v>
      </c>
      <c r="G359" s="106">
        <v>2</v>
      </c>
    </row>
    <row r="360" spans="1:7" ht="19.5" customHeight="1" thickBot="1" x14ac:dyDescent="0.45"/>
    <row r="361" spans="1:7" ht="19.5" customHeight="1" thickBot="1" x14ac:dyDescent="0.45">
      <c r="A361" s="8">
        <v>50</v>
      </c>
      <c r="B361" s="181" t="s">
        <v>418</v>
      </c>
      <c r="C361" s="216" t="s">
        <v>48</v>
      </c>
      <c r="D361" s="168" t="s">
        <v>293</v>
      </c>
      <c r="E361" s="13">
        <v>13800</v>
      </c>
      <c r="F361" s="108">
        <f t="shared" ref="F361:F368" si="38">SUM(G361)</f>
        <v>0</v>
      </c>
      <c r="G361" s="104">
        <v>0</v>
      </c>
    </row>
    <row r="362" spans="1:7" ht="19.5" customHeight="1" thickBot="1" x14ac:dyDescent="0.45">
      <c r="B362" s="182" t="s">
        <v>418</v>
      </c>
      <c r="C362" s="213" t="s">
        <v>48</v>
      </c>
      <c r="D362" s="169" t="s">
        <v>294</v>
      </c>
      <c r="E362" s="13">
        <v>13800</v>
      </c>
      <c r="F362" s="109">
        <f t="shared" si="38"/>
        <v>0</v>
      </c>
      <c r="G362" s="105">
        <v>0</v>
      </c>
    </row>
    <row r="363" spans="1:7" x14ac:dyDescent="0.4">
      <c r="B363" s="182" t="s">
        <v>418</v>
      </c>
      <c r="C363" s="213" t="s">
        <v>48</v>
      </c>
      <c r="D363" s="157" t="s">
        <v>347</v>
      </c>
      <c r="E363" s="56">
        <v>13800</v>
      </c>
      <c r="F363" s="109">
        <f t="shared" si="38"/>
        <v>0</v>
      </c>
      <c r="G363" s="105">
        <v>0</v>
      </c>
    </row>
    <row r="364" spans="1:7" x14ac:dyDescent="0.4">
      <c r="B364" s="182" t="s">
        <v>418</v>
      </c>
      <c r="C364" s="213" t="s">
        <v>48</v>
      </c>
      <c r="D364" s="169" t="s">
        <v>342</v>
      </c>
      <c r="E364" s="6">
        <v>13800</v>
      </c>
      <c r="F364" s="109">
        <f t="shared" si="38"/>
        <v>0</v>
      </c>
      <c r="G364" s="105">
        <v>0</v>
      </c>
    </row>
    <row r="365" spans="1:7" x14ac:dyDescent="0.4">
      <c r="B365" s="182" t="s">
        <v>418</v>
      </c>
      <c r="C365" s="213" t="s">
        <v>48</v>
      </c>
      <c r="D365" s="172" t="s">
        <v>295</v>
      </c>
      <c r="E365" s="6">
        <v>13800</v>
      </c>
      <c r="F365" s="109">
        <f t="shared" si="38"/>
        <v>0</v>
      </c>
      <c r="G365" s="105">
        <v>0</v>
      </c>
    </row>
    <row r="366" spans="1:7" x14ac:dyDescent="0.4">
      <c r="B366" s="182" t="s">
        <v>418</v>
      </c>
      <c r="C366" s="213" t="s">
        <v>48</v>
      </c>
      <c r="D366" s="173" t="s">
        <v>9</v>
      </c>
      <c r="E366" s="6">
        <v>16500</v>
      </c>
      <c r="F366" s="109">
        <f t="shared" si="38"/>
        <v>0</v>
      </c>
      <c r="G366" s="105">
        <v>0</v>
      </c>
    </row>
    <row r="367" spans="1:7" x14ac:dyDescent="0.4">
      <c r="B367" s="182" t="s">
        <v>418</v>
      </c>
      <c r="C367" s="213" t="s">
        <v>48</v>
      </c>
      <c r="D367" s="169" t="s">
        <v>343</v>
      </c>
      <c r="E367" s="6">
        <v>16500</v>
      </c>
      <c r="F367" s="109">
        <f t="shared" si="38"/>
        <v>0</v>
      </c>
      <c r="G367" s="105">
        <v>0</v>
      </c>
    </row>
    <row r="368" spans="1:7" ht="19.5" customHeight="1" thickBot="1" x14ac:dyDescent="0.45">
      <c r="B368" s="183" t="s">
        <v>418</v>
      </c>
      <c r="C368" s="210" t="s">
        <v>48</v>
      </c>
      <c r="D368" s="166" t="s">
        <v>32</v>
      </c>
      <c r="E368" s="55">
        <v>16900</v>
      </c>
      <c r="F368" s="110">
        <f t="shared" si="38"/>
        <v>0</v>
      </c>
      <c r="G368" s="106">
        <v>0</v>
      </c>
    </row>
    <row r="369" spans="1:7" ht="19.5" customHeight="1" thickBot="1" x14ac:dyDescent="0.45"/>
    <row r="370" spans="1:7" ht="19.5" customHeight="1" thickBot="1" x14ac:dyDescent="0.45">
      <c r="A370" s="8">
        <v>51</v>
      </c>
      <c r="B370" s="181" t="s">
        <v>417</v>
      </c>
      <c r="C370" s="217" t="s">
        <v>16</v>
      </c>
      <c r="D370" s="168" t="s">
        <v>293</v>
      </c>
      <c r="E370" s="13">
        <v>15790</v>
      </c>
      <c r="F370" s="108">
        <f t="shared" ref="F370:F377" si="39">SUM(G370)</f>
        <v>0</v>
      </c>
      <c r="G370" s="104">
        <v>0</v>
      </c>
    </row>
    <row r="371" spans="1:7" ht="19.5" customHeight="1" thickBot="1" x14ac:dyDescent="0.45">
      <c r="B371" s="182" t="s">
        <v>417</v>
      </c>
      <c r="C371" s="213" t="s">
        <v>16</v>
      </c>
      <c r="D371" s="169" t="s">
        <v>294</v>
      </c>
      <c r="E371" s="13">
        <v>15790</v>
      </c>
      <c r="F371" s="109">
        <f t="shared" si="39"/>
        <v>1</v>
      </c>
      <c r="G371" s="105">
        <v>1</v>
      </c>
    </row>
    <row r="372" spans="1:7" x14ac:dyDescent="0.4">
      <c r="B372" s="182" t="s">
        <v>417</v>
      </c>
      <c r="C372" s="213" t="s">
        <v>16</v>
      </c>
      <c r="D372" s="170" t="s">
        <v>347</v>
      </c>
      <c r="E372" s="56">
        <v>15790</v>
      </c>
      <c r="F372" s="109">
        <f t="shared" si="39"/>
        <v>1</v>
      </c>
      <c r="G372" s="105">
        <v>1</v>
      </c>
    </row>
    <row r="373" spans="1:7" x14ac:dyDescent="0.4">
      <c r="B373" s="182" t="s">
        <v>417</v>
      </c>
      <c r="C373" s="213" t="s">
        <v>16</v>
      </c>
      <c r="D373" s="169" t="s">
        <v>342</v>
      </c>
      <c r="E373" s="6">
        <v>15790</v>
      </c>
      <c r="F373" s="109">
        <f t="shared" si="39"/>
        <v>0</v>
      </c>
      <c r="G373" s="105">
        <v>0</v>
      </c>
    </row>
    <row r="374" spans="1:7" x14ac:dyDescent="0.4">
      <c r="B374" s="182" t="s">
        <v>417</v>
      </c>
      <c r="C374" s="213" t="s">
        <v>16</v>
      </c>
      <c r="D374" s="157" t="s">
        <v>295</v>
      </c>
      <c r="E374" s="6">
        <v>15790</v>
      </c>
      <c r="F374" s="109">
        <f t="shared" si="39"/>
        <v>0</v>
      </c>
      <c r="G374" s="105">
        <v>0</v>
      </c>
    </row>
    <row r="375" spans="1:7" x14ac:dyDescent="0.4">
      <c r="B375" s="182" t="s">
        <v>417</v>
      </c>
      <c r="C375" s="213" t="s">
        <v>16</v>
      </c>
      <c r="D375" s="157" t="s">
        <v>9</v>
      </c>
      <c r="E375" s="6">
        <v>18890</v>
      </c>
      <c r="F375" s="109">
        <f t="shared" si="39"/>
        <v>0</v>
      </c>
      <c r="G375" s="105">
        <v>0</v>
      </c>
    </row>
    <row r="376" spans="1:7" x14ac:dyDescent="0.4">
      <c r="B376" s="182" t="s">
        <v>417</v>
      </c>
      <c r="C376" s="213" t="s">
        <v>16</v>
      </c>
      <c r="D376" s="169" t="s">
        <v>343</v>
      </c>
      <c r="E376" s="6">
        <v>18890</v>
      </c>
      <c r="F376" s="109">
        <f t="shared" si="39"/>
        <v>0</v>
      </c>
      <c r="G376" s="105">
        <v>0</v>
      </c>
    </row>
    <row r="377" spans="1:7" ht="19.5" customHeight="1" thickBot="1" x14ac:dyDescent="0.45">
      <c r="B377" s="183" t="s">
        <v>417</v>
      </c>
      <c r="C377" s="210" t="s">
        <v>16</v>
      </c>
      <c r="D377" s="174" t="s">
        <v>32</v>
      </c>
      <c r="E377" s="55">
        <v>19390</v>
      </c>
      <c r="F377" s="110">
        <f t="shared" si="39"/>
        <v>0</v>
      </c>
      <c r="G377" s="106">
        <v>0</v>
      </c>
    </row>
    <row r="378" spans="1:7" ht="19.5" customHeight="1" thickBot="1" x14ac:dyDescent="0.45"/>
    <row r="379" spans="1:7" ht="19.5" customHeight="1" thickBot="1" x14ac:dyDescent="0.45">
      <c r="A379" s="8">
        <v>52</v>
      </c>
      <c r="B379" s="181" t="s">
        <v>596</v>
      </c>
      <c r="C379" s="217" t="s">
        <v>38</v>
      </c>
      <c r="D379" s="168" t="s">
        <v>293</v>
      </c>
      <c r="E379" s="13">
        <v>19900</v>
      </c>
      <c r="F379" s="108">
        <f t="shared" ref="F379:F386" si="40">SUM(G379)</f>
        <v>0</v>
      </c>
      <c r="G379" s="104">
        <v>0</v>
      </c>
    </row>
    <row r="380" spans="1:7" ht="19.5" customHeight="1" thickBot="1" x14ac:dyDescent="0.45">
      <c r="B380" s="182" t="s">
        <v>596</v>
      </c>
      <c r="C380" s="213" t="s">
        <v>38</v>
      </c>
      <c r="D380" s="169" t="s">
        <v>294</v>
      </c>
      <c r="E380" s="13">
        <v>19900</v>
      </c>
      <c r="F380" s="109">
        <f t="shared" si="40"/>
        <v>0</v>
      </c>
      <c r="G380" s="105">
        <v>0</v>
      </c>
    </row>
    <row r="381" spans="1:7" x14ac:dyDescent="0.4">
      <c r="B381" s="182" t="s">
        <v>596</v>
      </c>
      <c r="C381" s="213" t="s">
        <v>38</v>
      </c>
      <c r="D381" s="170" t="s">
        <v>347</v>
      </c>
      <c r="E381" s="56">
        <v>19900</v>
      </c>
      <c r="F381" s="109">
        <f t="shared" si="40"/>
        <v>0</v>
      </c>
      <c r="G381" s="105">
        <v>0</v>
      </c>
    </row>
    <row r="382" spans="1:7" x14ac:dyDescent="0.4">
      <c r="B382" s="182" t="s">
        <v>596</v>
      </c>
      <c r="C382" s="213" t="s">
        <v>38</v>
      </c>
      <c r="D382" s="169" t="s">
        <v>342</v>
      </c>
      <c r="E382" s="6">
        <v>19900</v>
      </c>
      <c r="F382" s="109">
        <f t="shared" si="40"/>
        <v>0</v>
      </c>
      <c r="G382" s="105">
        <v>0</v>
      </c>
    </row>
    <row r="383" spans="1:7" x14ac:dyDescent="0.4">
      <c r="B383" s="182" t="s">
        <v>596</v>
      </c>
      <c r="C383" s="213" t="s">
        <v>38</v>
      </c>
      <c r="D383" s="157" t="s">
        <v>295</v>
      </c>
      <c r="E383" s="6">
        <v>19900</v>
      </c>
      <c r="F383" s="109">
        <f t="shared" si="40"/>
        <v>0</v>
      </c>
      <c r="G383" s="105">
        <v>0</v>
      </c>
    </row>
    <row r="384" spans="1:7" x14ac:dyDescent="0.4">
      <c r="B384" s="182" t="s">
        <v>596</v>
      </c>
      <c r="C384" s="213" t="s">
        <v>38</v>
      </c>
      <c r="D384" s="157" t="s">
        <v>9</v>
      </c>
      <c r="E384" s="6">
        <v>22900</v>
      </c>
      <c r="F384" s="109">
        <f t="shared" si="40"/>
        <v>0</v>
      </c>
      <c r="G384" s="105">
        <v>0</v>
      </c>
    </row>
    <row r="385" spans="1:7" x14ac:dyDescent="0.4">
      <c r="B385" s="182" t="s">
        <v>596</v>
      </c>
      <c r="C385" s="213" t="s">
        <v>38</v>
      </c>
      <c r="D385" s="169" t="s">
        <v>343</v>
      </c>
      <c r="E385" s="6">
        <v>22900</v>
      </c>
      <c r="F385" s="109">
        <f t="shared" si="40"/>
        <v>0</v>
      </c>
      <c r="G385" s="105">
        <v>0</v>
      </c>
    </row>
    <row r="386" spans="1:7" ht="19.5" customHeight="1" thickBot="1" x14ac:dyDescent="0.45">
      <c r="B386" s="183" t="s">
        <v>596</v>
      </c>
      <c r="C386" s="210" t="s">
        <v>38</v>
      </c>
      <c r="D386" s="174" t="s">
        <v>32</v>
      </c>
      <c r="E386" s="55">
        <v>23300</v>
      </c>
      <c r="F386" s="110">
        <f t="shared" si="40"/>
        <v>1</v>
      </c>
      <c r="G386" s="106">
        <v>1</v>
      </c>
    </row>
    <row r="387" spans="1:7" ht="19.5" customHeight="1" thickBot="1" x14ac:dyDescent="0.45"/>
    <row r="388" spans="1:7" ht="19.5" customHeight="1" x14ac:dyDescent="0.4">
      <c r="A388" s="8">
        <v>53</v>
      </c>
      <c r="B388" s="181" t="s">
        <v>539</v>
      </c>
      <c r="C388" s="217" t="s">
        <v>16</v>
      </c>
      <c r="D388" s="168" t="s">
        <v>293</v>
      </c>
      <c r="E388" s="56">
        <v>15600</v>
      </c>
      <c r="F388" s="108">
        <f t="shared" ref="F388:F395" si="41">SUM(G388)</f>
        <v>0</v>
      </c>
      <c r="G388" s="104">
        <v>0</v>
      </c>
    </row>
    <row r="389" spans="1:7" ht="19.5" customHeight="1" x14ac:dyDescent="0.4">
      <c r="B389" s="182" t="s">
        <v>539</v>
      </c>
      <c r="C389" s="213" t="s">
        <v>16</v>
      </c>
      <c r="D389" s="169" t="s">
        <v>294</v>
      </c>
      <c r="E389" s="6">
        <v>15600</v>
      </c>
      <c r="F389" s="109">
        <f t="shared" si="41"/>
        <v>0</v>
      </c>
      <c r="G389" s="105">
        <v>0</v>
      </c>
    </row>
    <row r="390" spans="1:7" x14ac:dyDescent="0.4">
      <c r="B390" s="182" t="s">
        <v>539</v>
      </c>
      <c r="C390" s="213" t="s">
        <v>16</v>
      </c>
      <c r="D390" s="170" t="s">
        <v>347</v>
      </c>
      <c r="E390" s="230">
        <v>15600</v>
      </c>
      <c r="F390" s="109">
        <f t="shared" si="41"/>
        <v>0</v>
      </c>
      <c r="G390" s="105">
        <v>0</v>
      </c>
    </row>
    <row r="391" spans="1:7" x14ac:dyDescent="0.4">
      <c r="B391" s="182" t="s">
        <v>539</v>
      </c>
      <c r="C391" s="213" t="s">
        <v>16</v>
      </c>
      <c r="D391" s="169" t="s">
        <v>342</v>
      </c>
      <c r="E391" s="6">
        <v>15600</v>
      </c>
      <c r="F391" s="109">
        <f t="shared" si="41"/>
        <v>0</v>
      </c>
      <c r="G391" s="105">
        <v>0</v>
      </c>
    </row>
    <row r="392" spans="1:7" x14ac:dyDescent="0.4">
      <c r="B392" s="182" t="s">
        <v>539</v>
      </c>
      <c r="C392" s="213" t="s">
        <v>16</v>
      </c>
      <c r="D392" s="175" t="s">
        <v>295</v>
      </c>
      <c r="E392" s="11">
        <v>15600</v>
      </c>
      <c r="F392" s="109">
        <f t="shared" si="41"/>
        <v>0</v>
      </c>
      <c r="G392" s="105">
        <v>0</v>
      </c>
    </row>
    <row r="393" spans="1:7" x14ac:dyDescent="0.4">
      <c r="B393" s="182" t="s">
        <v>539</v>
      </c>
      <c r="C393" s="213" t="s">
        <v>16</v>
      </c>
      <c r="D393" s="169" t="s">
        <v>9</v>
      </c>
      <c r="E393" s="6">
        <v>18500</v>
      </c>
      <c r="F393" s="109">
        <f t="shared" si="41"/>
        <v>0</v>
      </c>
      <c r="G393" s="105">
        <v>0</v>
      </c>
    </row>
    <row r="394" spans="1:7" x14ac:dyDescent="0.4">
      <c r="B394" s="182" t="s">
        <v>539</v>
      </c>
      <c r="C394" s="213" t="s">
        <v>16</v>
      </c>
      <c r="D394" s="169" t="s">
        <v>343</v>
      </c>
      <c r="E394" s="6">
        <v>18500</v>
      </c>
      <c r="F394" s="109">
        <f t="shared" si="41"/>
        <v>0</v>
      </c>
      <c r="G394" s="105">
        <v>0</v>
      </c>
    </row>
    <row r="395" spans="1:7" ht="19.5" customHeight="1" thickBot="1" x14ac:dyDescent="0.45">
      <c r="B395" s="183" t="s">
        <v>539</v>
      </c>
      <c r="C395" s="210" t="s">
        <v>16</v>
      </c>
      <c r="D395" s="166" t="s">
        <v>32</v>
      </c>
      <c r="E395" s="17">
        <v>18900</v>
      </c>
      <c r="F395" s="110">
        <f t="shared" si="41"/>
        <v>0</v>
      </c>
      <c r="G395" s="106">
        <v>0</v>
      </c>
    </row>
    <row r="396" spans="1:7" ht="19.5" customHeight="1" thickBot="1" x14ac:dyDescent="0.45"/>
    <row r="397" spans="1:7" x14ac:dyDescent="0.4">
      <c r="A397" s="8">
        <v>54</v>
      </c>
      <c r="B397" s="191" t="s">
        <v>540</v>
      </c>
      <c r="C397" s="218" t="s">
        <v>38</v>
      </c>
      <c r="D397" s="168" t="s">
        <v>293</v>
      </c>
      <c r="E397" s="13">
        <v>51390</v>
      </c>
      <c r="F397" s="108">
        <f t="shared" ref="F397:F404" si="42">SUM(G397)</f>
        <v>0</v>
      </c>
      <c r="G397" s="104">
        <v>0</v>
      </c>
    </row>
    <row r="398" spans="1:7" x14ac:dyDescent="0.4">
      <c r="B398" s="182" t="s">
        <v>540</v>
      </c>
      <c r="C398" s="213" t="s">
        <v>38</v>
      </c>
      <c r="D398" s="169" t="s">
        <v>294</v>
      </c>
      <c r="E398" s="6">
        <v>51390</v>
      </c>
      <c r="F398" s="109">
        <f t="shared" si="42"/>
        <v>0</v>
      </c>
      <c r="G398" s="105">
        <v>0</v>
      </c>
    </row>
    <row r="399" spans="1:7" x14ac:dyDescent="0.4">
      <c r="B399" s="182" t="s">
        <v>540</v>
      </c>
      <c r="C399" s="213" t="s">
        <v>38</v>
      </c>
      <c r="D399" s="169" t="s">
        <v>347</v>
      </c>
      <c r="E399" s="6">
        <v>51390</v>
      </c>
      <c r="F399" s="109">
        <f t="shared" si="42"/>
        <v>0</v>
      </c>
      <c r="G399" s="105">
        <v>0</v>
      </c>
    </row>
    <row r="400" spans="1:7" x14ac:dyDescent="0.4">
      <c r="B400" s="182" t="s">
        <v>540</v>
      </c>
      <c r="C400" s="213" t="s">
        <v>38</v>
      </c>
      <c r="D400" s="169" t="s">
        <v>342</v>
      </c>
      <c r="E400" s="6">
        <v>51390</v>
      </c>
      <c r="F400" s="109">
        <f t="shared" si="42"/>
        <v>0</v>
      </c>
      <c r="G400" s="105">
        <v>0</v>
      </c>
    </row>
    <row r="401" spans="1:7" x14ac:dyDescent="0.4">
      <c r="B401" s="182" t="s">
        <v>540</v>
      </c>
      <c r="C401" s="213" t="s">
        <v>38</v>
      </c>
      <c r="D401" s="169" t="s">
        <v>295</v>
      </c>
      <c r="E401" s="6">
        <v>51390</v>
      </c>
      <c r="F401" s="109">
        <f t="shared" si="42"/>
        <v>0</v>
      </c>
      <c r="G401" s="105">
        <v>0</v>
      </c>
    </row>
    <row r="402" spans="1:7" x14ac:dyDescent="0.4">
      <c r="B402" s="182" t="s">
        <v>540</v>
      </c>
      <c r="C402" s="213" t="s">
        <v>38</v>
      </c>
      <c r="D402" s="169" t="s">
        <v>9</v>
      </c>
      <c r="E402" s="6">
        <v>51390</v>
      </c>
      <c r="F402" s="109">
        <f t="shared" si="42"/>
        <v>0</v>
      </c>
      <c r="G402" s="105">
        <v>0</v>
      </c>
    </row>
    <row r="403" spans="1:7" x14ac:dyDescent="0.4">
      <c r="B403" s="182" t="s">
        <v>540</v>
      </c>
      <c r="C403" s="213" t="s">
        <v>38</v>
      </c>
      <c r="D403" s="169" t="s">
        <v>343</v>
      </c>
      <c r="E403" s="6">
        <v>51390</v>
      </c>
      <c r="F403" s="109">
        <f t="shared" si="42"/>
        <v>1</v>
      </c>
      <c r="G403" s="105">
        <v>1</v>
      </c>
    </row>
    <row r="404" spans="1:7" ht="19.5" customHeight="1" thickBot="1" x14ac:dyDescent="0.45">
      <c r="B404" s="183" t="s">
        <v>540</v>
      </c>
      <c r="C404" s="210" t="s">
        <v>38</v>
      </c>
      <c r="D404" s="166" t="s">
        <v>32</v>
      </c>
      <c r="E404" s="17">
        <v>51390</v>
      </c>
      <c r="F404" s="110">
        <f t="shared" si="42"/>
        <v>0</v>
      </c>
      <c r="G404" s="106">
        <v>0</v>
      </c>
    </row>
    <row r="405" spans="1:7" ht="19.5" customHeight="1" thickBot="1" x14ac:dyDescent="0.45"/>
    <row r="406" spans="1:7" x14ac:dyDescent="0.4">
      <c r="A406" s="8">
        <v>55</v>
      </c>
      <c r="B406" s="181" t="s">
        <v>416</v>
      </c>
      <c r="C406" s="214" t="s">
        <v>348</v>
      </c>
      <c r="D406" s="156" t="s">
        <v>293</v>
      </c>
      <c r="E406" s="13">
        <v>21790</v>
      </c>
      <c r="F406" s="108">
        <f t="shared" ref="F406:F413" si="43">SUM(G406)</f>
        <v>0</v>
      </c>
      <c r="G406" s="104">
        <v>0</v>
      </c>
    </row>
    <row r="407" spans="1:7" x14ac:dyDescent="0.4">
      <c r="B407" s="182" t="s">
        <v>416</v>
      </c>
      <c r="C407" s="201" t="s">
        <v>348</v>
      </c>
      <c r="D407" s="157" t="s">
        <v>294</v>
      </c>
      <c r="E407" s="6">
        <v>21790</v>
      </c>
      <c r="F407" s="109">
        <f t="shared" si="43"/>
        <v>0</v>
      </c>
      <c r="G407" s="105">
        <v>0</v>
      </c>
    </row>
    <row r="408" spans="1:7" x14ac:dyDescent="0.4">
      <c r="B408" s="182" t="s">
        <v>416</v>
      </c>
      <c r="C408" s="201" t="s">
        <v>348</v>
      </c>
      <c r="D408" s="157" t="s">
        <v>347</v>
      </c>
      <c r="E408" s="6">
        <v>21790</v>
      </c>
      <c r="F408" s="109">
        <f t="shared" si="43"/>
        <v>1</v>
      </c>
      <c r="G408" s="105">
        <v>1</v>
      </c>
    </row>
    <row r="409" spans="1:7" x14ac:dyDescent="0.4">
      <c r="B409" s="182" t="s">
        <v>416</v>
      </c>
      <c r="C409" s="201" t="s">
        <v>348</v>
      </c>
      <c r="D409" s="157" t="s">
        <v>342</v>
      </c>
      <c r="E409" s="6">
        <v>21790</v>
      </c>
      <c r="F409" s="109">
        <f t="shared" si="43"/>
        <v>1</v>
      </c>
      <c r="G409" s="105">
        <v>1</v>
      </c>
    </row>
    <row r="410" spans="1:7" x14ac:dyDescent="0.4">
      <c r="B410" s="182" t="s">
        <v>416</v>
      </c>
      <c r="C410" s="201" t="s">
        <v>348</v>
      </c>
      <c r="D410" s="157" t="s">
        <v>295</v>
      </c>
      <c r="E410" s="6">
        <v>21790</v>
      </c>
      <c r="F410" s="109">
        <f t="shared" si="43"/>
        <v>0</v>
      </c>
      <c r="G410" s="105">
        <v>0</v>
      </c>
    </row>
    <row r="411" spans="1:7" x14ac:dyDescent="0.4">
      <c r="B411" s="182" t="s">
        <v>416</v>
      </c>
      <c r="C411" s="201" t="s">
        <v>348</v>
      </c>
      <c r="D411" s="157" t="s">
        <v>9</v>
      </c>
      <c r="E411" s="6">
        <v>24890</v>
      </c>
      <c r="F411" s="109">
        <f t="shared" si="43"/>
        <v>0</v>
      </c>
      <c r="G411" s="105">
        <v>0</v>
      </c>
    </row>
    <row r="412" spans="1:7" x14ac:dyDescent="0.4">
      <c r="B412" s="182" t="s">
        <v>416</v>
      </c>
      <c r="C412" s="201" t="s">
        <v>348</v>
      </c>
      <c r="D412" s="157" t="s">
        <v>343</v>
      </c>
      <c r="E412" s="6">
        <v>24890</v>
      </c>
      <c r="F412" s="109">
        <f t="shared" si="43"/>
        <v>0</v>
      </c>
      <c r="G412" s="105">
        <v>0</v>
      </c>
    </row>
    <row r="413" spans="1:7" ht="19.5" customHeight="1" thickBot="1" x14ac:dyDescent="0.45">
      <c r="B413" s="183" t="s">
        <v>416</v>
      </c>
      <c r="C413" s="202" t="s">
        <v>348</v>
      </c>
      <c r="D413" s="158" t="s">
        <v>32</v>
      </c>
      <c r="E413" s="17">
        <v>25190</v>
      </c>
      <c r="F413" s="110">
        <f t="shared" si="43"/>
        <v>0</v>
      </c>
      <c r="G413" s="106">
        <v>0</v>
      </c>
    </row>
    <row r="414" spans="1:7" ht="19.5" customHeight="1" thickBot="1" x14ac:dyDescent="0.45">
      <c r="D414" s="176"/>
    </row>
    <row r="415" spans="1:7" ht="19.5" customHeight="1" thickBot="1" x14ac:dyDescent="0.45">
      <c r="A415" s="8">
        <v>56</v>
      </c>
      <c r="B415" s="189" t="s">
        <v>415</v>
      </c>
      <c r="C415" s="211" t="s">
        <v>348</v>
      </c>
      <c r="D415" s="167" t="s">
        <v>264</v>
      </c>
      <c r="E415" s="28">
        <v>27690</v>
      </c>
      <c r="F415" s="119">
        <f>SUM(G415)</f>
        <v>1</v>
      </c>
      <c r="G415" s="111">
        <v>1</v>
      </c>
    </row>
    <row r="416" spans="1:7" ht="19.5" customHeight="1" thickBot="1" x14ac:dyDescent="0.45">
      <c r="D416" s="176"/>
    </row>
    <row r="417" spans="1:7" x14ac:dyDescent="0.4">
      <c r="A417" s="8">
        <v>57</v>
      </c>
      <c r="B417" s="181" t="s">
        <v>414</v>
      </c>
      <c r="C417" s="209" t="s">
        <v>48</v>
      </c>
      <c r="D417" s="156" t="s">
        <v>47</v>
      </c>
      <c r="E417" s="13">
        <v>15390</v>
      </c>
      <c r="F417" s="108">
        <f>SUM(G417)</f>
        <v>3</v>
      </c>
      <c r="G417" s="104">
        <v>3</v>
      </c>
    </row>
    <row r="418" spans="1:7" ht="19.5" customHeight="1" thickBot="1" x14ac:dyDescent="0.45">
      <c r="B418" s="183" t="s">
        <v>414</v>
      </c>
      <c r="C418" s="219" t="s">
        <v>48</v>
      </c>
      <c r="D418" s="158" t="s">
        <v>46</v>
      </c>
      <c r="E418" s="17">
        <v>19190</v>
      </c>
      <c r="F418" s="110">
        <f>SUM(G418)</f>
        <v>1</v>
      </c>
      <c r="G418" s="106">
        <v>1</v>
      </c>
    </row>
    <row r="419" spans="1:7" ht="19.5" customHeight="1" thickBot="1" x14ac:dyDescent="0.45">
      <c r="D419" s="176"/>
    </row>
    <row r="420" spans="1:7" ht="19.5" customHeight="1" thickBot="1" x14ac:dyDescent="0.45">
      <c r="A420" s="8">
        <v>58</v>
      </c>
      <c r="B420" s="189" t="s">
        <v>413</v>
      </c>
      <c r="C420" s="211" t="s">
        <v>48</v>
      </c>
      <c r="D420" s="167" t="s">
        <v>349</v>
      </c>
      <c r="E420" s="28">
        <v>17490</v>
      </c>
      <c r="F420" s="119">
        <f>SUM(G420)</f>
        <v>1</v>
      </c>
      <c r="G420" s="111">
        <v>1</v>
      </c>
    </row>
    <row r="421" spans="1:7" ht="19.5" customHeight="1" thickBot="1" x14ac:dyDescent="0.45">
      <c r="D421" s="176"/>
    </row>
    <row r="422" spans="1:7" ht="23.25" customHeight="1" thickBot="1" x14ac:dyDescent="0.45">
      <c r="A422" s="8">
        <v>59</v>
      </c>
      <c r="B422" s="189" t="s">
        <v>412</v>
      </c>
      <c r="C422" s="211" t="s">
        <v>350</v>
      </c>
      <c r="D422" s="167" t="s">
        <v>264</v>
      </c>
      <c r="E422" s="28">
        <v>22790</v>
      </c>
      <c r="F422" s="119">
        <f>SUM(G422)</f>
        <v>1</v>
      </c>
      <c r="G422" s="111">
        <v>1</v>
      </c>
    </row>
    <row r="424" spans="1:7" ht="19.5" customHeight="1" thickBot="1" x14ac:dyDescent="0.45">
      <c r="A424" s="32"/>
      <c r="D424" s="174"/>
    </row>
    <row r="425" spans="1:7" ht="21" customHeight="1" x14ac:dyDescent="0.4">
      <c r="A425" s="8">
        <v>1</v>
      </c>
      <c r="B425" s="192" t="s">
        <v>303</v>
      </c>
      <c r="C425" s="214" t="s">
        <v>50</v>
      </c>
      <c r="D425" s="156" t="s">
        <v>51</v>
      </c>
      <c r="E425" s="13">
        <v>19950</v>
      </c>
      <c r="F425" s="108">
        <f>SUM(G425)</f>
        <v>0</v>
      </c>
      <c r="G425" s="104">
        <v>0</v>
      </c>
    </row>
    <row r="426" spans="1:7" ht="19.5" customHeight="1" thickBot="1" x14ac:dyDescent="0.45">
      <c r="B426" s="183" t="s">
        <v>303</v>
      </c>
      <c r="C426" s="202" t="s">
        <v>50</v>
      </c>
      <c r="D426" s="158" t="s">
        <v>27</v>
      </c>
      <c r="E426" s="17">
        <v>26550</v>
      </c>
      <c r="F426" s="110">
        <f>SUM(G426)</f>
        <v>0</v>
      </c>
      <c r="G426" s="106">
        <v>0</v>
      </c>
    </row>
    <row r="427" spans="1:7" ht="19.5" customHeight="1" thickBot="1" x14ac:dyDescent="0.45"/>
    <row r="428" spans="1:7" ht="21.75" customHeight="1" x14ac:dyDescent="0.4">
      <c r="A428" s="8">
        <v>2</v>
      </c>
      <c r="B428" s="181" t="s">
        <v>304</v>
      </c>
      <c r="C428" s="214" t="s">
        <v>52</v>
      </c>
      <c r="D428" s="156" t="s">
        <v>51</v>
      </c>
      <c r="E428" s="13">
        <v>21000</v>
      </c>
      <c r="F428" s="108">
        <f>SUM(G428)</f>
        <v>0</v>
      </c>
      <c r="G428" s="104">
        <v>0</v>
      </c>
    </row>
    <row r="429" spans="1:7" ht="19.5" customHeight="1" thickBot="1" x14ac:dyDescent="0.45">
      <c r="B429" s="183" t="s">
        <v>304</v>
      </c>
      <c r="C429" s="202" t="s">
        <v>52</v>
      </c>
      <c r="D429" s="158" t="s">
        <v>27</v>
      </c>
      <c r="E429" s="17">
        <v>28500</v>
      </c>
      <c r="F429" s="110">
        <f>SUM(G429)</f>
        <v>0</v>
      </c>
      <c r="G429" s="106">
        <v>0</v>
      </c>
    </row>
    <row r="430" spans="1:7" ht="19.5" customHeight="1" thickBot="1" x14ac:dyDescent="0.45"/>
    <row r="431" spans="1:7" s="150" customFormat="1" ht="24" customHeight="1" x14ac:dyDescent="0.4">
      <c r="A431" s="146">
        <v>3</v>
      </c>
      <c r="B431" s="192" t="s">
        <v>305</v>
      </c>
      <c r="C431" s="220" t="s">
        <v>53</v>
      </c>
      <c r="D431" s="177" t="s">
        <v>51</v>
      </c>
      <c r="E431" s="151">
        <v>22150</v>
      </c>
      <c r="F431" s="152">
        <f>SUM(G431)</f>
        <v>2</v>
      </c>
      <c r="G431" s="153">
        <v>2</v>
      </c>
    </row>
    <row r="432" spans="1:7" ht="19.5" customHeight="1" thickBot="1" x14ac:dyDescent="0.45">
      <c r="B432" s="183" t="s">
        <v>305</v>
      </c>
      <c r="C432" s="202" t="s">
        <v>53</v>
      </c>
      <c r="D432" s="158" t="s">
        <v>27</v>
      </c>
      <c r="E432" s="17">
        <v>30900</v>
      </c>
      <c r="F432" s="110">
        <f>SUM(G432)</f>
        <v>0</v>
      </c>
      <c r="G432" s="106">
        <v>0</v>
      </c>
    </row>
    <row r="433" spans="1:7" ht="19.5" customHeight="1" thickBot="1" x14ac:dyDescent="0.45">
      <c r="F433" s="96" t="s">
        <v>285</v>
      </c>
    </row>
    <row r="434" spans="1:7" s="150" customFormat="1" ht="25.5" customHeight="1" x14ac:dyDescent="0.4">
      <c r="A434" s="146">
        <v>4</v>
      </c>
      <c r="B434" s="192" t="s">
        <v>306</v>
      </c>
      <c r="C434" s="220" t="s">
        <v>50</v>
      </c>
      <c r="D434" s="177" t="s">
        <v>54</v>
      </c>
      <c r="E434" s="151">
        <v>47400</v>
      </c>
      <c r="F434" s="152">
        <f>SUM(G434)</f>
        <v>0</v>
      </c>
      <c r="G434" s="153">
        <v>0</v>
      </c>
    </row>
    <row r="435" spans="1:7" x14ac:dyDescent="0.4">
      <c r="B435" s="182" t="s">
        <v>306</v>
      </c>
      <c r="C435" s="201" t="s">
        <v>50</v>
      </c>
      <c r="D435" s="157" t="s">
        <v>55</v>
      </c>
      <c r="E435" s="6">
        <v>39500</v>
      </c>
      <c r="F435" s="109">
        <f>SUM(G435)</f>
        <v>1</v>
      </c>
      <c r="G435" s="105">
        <v>1</v>
      </c>
    </row>
    <row r="436" spans="1:7" ht="19.5" customHeight="1" thickBot="1" x14ac:dyDescent="0.45">
      <c r="B436" s="183" t="s">
        <v>306</v>
      </c>
      <c r="C436" s="202" t="s">
        <v>50</v>
      </c>
      <c r="D436" s="158" t="s">
        <v>56</v>
      </c>
      <c r="E436" s="17">
        <v>34900</v>
      </c>
      <c r="F436" s="110">
        <f>SUM(G436)</f>
        <v>0</v>
      </c>
      <c r="G436" s="106">
        <v>0</v>
      </c>
    </row>
    <row r="437" spans="1:7" ht="19.5" customHeight="1" thickBot="1" x14ac:dyDescent="0.45"/>
    <row r="438" spans="1:7" s="150" customFormat="1" ht="22.5" customHeight="1" x14ac:dyDescent="0.4">
      <c r="A438" s="146">
        <v>5</v>
      </c>
      <c r="B438" s="192" t="s">
        <v>682</v>
      </c>
      <c r="C438" s="220" t="s">
        <v>52</v>
      </c>
      <c r="D438" s="177" t="s">
        <v>54</v>
      </c>
      <c r="E438" s="151">
        <v>48500</v>
      </c>
      <c r="F438" s="152">
        <f>SUM(G438)</f>
        <v>0</v>
      </c>
      <c r="G438" s="153">
        <v>0</v>
      </c>
    </row>
    <row r="439" spans="1:7" x14ac:dyDescent="0.4">
      <c r="B439" s="182" t="s">
        <v>682</v>
      </c>
      <c r="C439" s="201" t="s">
        <v>52</v>
      </c>
      <c r="D439" s="157" t="s">
        <v>55</v>
      </c>
      <c r="E439" s="6">
        <v>40600</v>
      </c>
      <c r="F439" s="109">
        <f>SUM(G439)</f>
        <v>0</v>
      </c>
      <c r="G439" s="105">
        <v>0</v>
      </c>
    </row>
    <row r="440" spans="1:7" ht="19.5" customHeight="1" thickBot="1" x14ac:dyDescent="0.45">
      <c r="B440" s="183" t="s">
        <v>682</v>
      </c>
      <c r="C440" s="202" t="s">
        <v>52</v>
      </c>
      <c r="D440" s="158" t="s">
        <v>56</v>
      </c>
      <c r="E440" s="17">
        <v>36000</v>
      </c>
      <c r="F440" s="110">
        <f>SUM(G440)</f>
        <v>3</v>
      </c>
      <c r="G440" s="106">
        <v>3</v>
      </c>
    </row>
    <row r="441" spans="1:7" ht="19.5" customHeight="1" thickBot="1" x14ac:dyDescent="0.45"/>
    <row r="442" spans="1:7" s="150" customFormat="1" ht="22.5" customHeight="1" x14ac:dyDescent="0.4">
      <c r="A442" s="146">
        <v>6</v>
      </c>
      <c r="B442" s="192" t="s">
        <v>683</v>
      </c>
      <c r="C442" s="220" t="s">
        <v>53</v>
      </c>
      <c r="D442" s="177" t="s">
        <v>54</v>
      </c>
      <c r="E442" s="151">
        <v>50200</v>
      </c>
      <c r="F442" s="152">
        <f>SUM(G442)</f>
        <v>0</v>
      </c>
      <c r="G442" s="153">
        <v>0</v>
      </c>
    </row>
    <row r="443" spans="1:7" x14ac:dyDescent="0.4">
      <c r="B443" s="182" t="s">
        <v>683</v>
      </c>
      <c r="C443" s="201" t="s">
        <v>53</v>
      </c>
      <c r="D443" s="157" t="s">
        <v>55</v>
      </c>
      <c r="E443" s="6">
        <v>42300</v>
      </c>
      <c r="F443" s="109">
        <f>SUM(G443)</f>
        <v>2</v>
      </c>
      <c r="G443" s="105">
        <v>2</v>
      </c>
    </row>
    <row r="444" spans="1:7" ht="19.5" customHeight="1" thickBot="1" x14ac:dyDescent="0.45">
      <c r="B444" s="183" t="s">
        <v>683</v>
      </c>
      <c r="C444" s="202" t="s">
        <v>53</v>
      </c>
      <c r="D444" s="158" t="s">
        <v>56</v>
      </c>
      <c r="E444" s="17">
        <v>37700</v>
      </c>
      <c r="F444" s="110">
        <f>SUM(G444)</f>
        <v>4</v>
      </c>
      <c r="G444" s="106">
        <v>4</v>
      </c>
    </row>
    <row r="445" spans="1:7" ht="19.5" customHeight="1" thickBot="1" x14ac:dyDescent="0.45"/>
    <row r="446" spans="1:7" ht="22.5" customHeight="1" thickBot="1" x14ac:dyDescent="0.45">
      <c r="A446" s="8">
        <v>7</v>
      </c>
      <c r="B446" s="193" t="s">
        <v>309</v>
      </c>
      <c r="C446" s="221" t="s">
        <v>57</v>
      </c>
      <c r="D446" s="167" t="s">
        <v>51</v>
      </c>
      <c r="E446" s="38">
        <v>104800</v>
      </c>
      <c r="F446" s="120">
        <f>SUM(G446)</f>
        <v>1</v>
      </c>
      <c r="G446" s="111">
        <v>1</v>
      </c>
    </row>
    <row r="447" spans="1:7" ht="26.25" customHeight="1" thickBot="1" x14ac:dyDescent="0.45"/>
    <row r="448" spans="1:7" ht="21" customHeight="1" x14ac:dyDescent="0.4">
      <c r="A448" s="8">
        <v>8</v>
      </c>
      <c r="B448" s="181" t="s">
        <v>310</v>
      </c>
      <c r="C448" s="214" t="s">
        <v>58</v>
      </c>
      <c r="D448" s="156" t="s">
        <v>59</v>
      </c>
      <c r="E448" s="13">
        <v>38500</v>
      </c>
      <c r="F448" s="108">
        <f>SUM(G448)</f>
        <v>0</v>
      </c>
      <c r="G448" s="104">
        <v>0</v>
      </c>
    </row>
    <row r="449" spans="1:7" ht="19.5" customHeight="1" thickBot="1" x14ac:dyDescent="0.45">
      <c r="B449" s="183" t="s">
        <v>310</v>
      </c>
      <c r="C449" s="202" t="s">
        <v>58</v>
      </c>
      <c r="D449" s="158" t="s">
        <v>60</v>
      </c>
      <c r="E449" s="17">
        <v>21000</v>
      </c>
      <c r="F449" s="110">
        <f>SUM(G449)</f>
        <v>0</v>
      </c>
      <c r="G449" s="106">
        <v>0</v>
      </c>
    </row>
    <row r="450" spans="1:7" ht="19.5" customHeight="1" thickBot="1" x14ac:dyDescent="0.45"/>
    <row r="451" spans="1:7" x14ac:dyDescent="0.4">
      <c r="A451" s="8">
        <v>9</v>
      </c>
      <c r="B451" s="181" t="s">
        <v>379</v>
      </c>
      <c r="C451" s="216" t="s">
        <v>61</v>
      </c>
      <c r="D451" s="156" t="s">
        <v>62</v>
      </c>
      <c r="E451" s="13">
        <v>62900</v>
      </c>
      <c r="F451" s="108">
        <f>SUM(G451)</f>
        <v>0</v>
      </c>
      <c r="G451" s="104">
        <v>0</v>
      </c>
    </row>
    <row r="452" spans="1:7" ht="19.5" customHeight="1" thickBot="1" x14ac:dyDescent="0.45">
      <c r="B452" s="183" t="s">
        <v>379</v>
      </c>
      <c r="C452" s="202" t="s">
        <v>61</v>
      </c>
      <c r="D452" s="158" t="s">
        <v>63</v>
      </c>
      <c r="E452" s="17">
        <v>104900</v>
      </c>
      <c r="F452" s="110">
        <f>SUM(G452)</f>
        <v>0</v>
      </c>
      <c r="G452" s="106">
        <v>0</v>
      </c>
    </row>
    <row r="453" spans="1:7" ht="19.5" customHeight="1" thickBot="1" x14ac:dyDescent="0.45"/>
    <row r="454" spans="1:7" x14ac:dyDescent="0.4">
      <c r="A454" s="8">
        <v>10</v>
      </c>
      <c r="B454" s="192" t="s">
        <v>64</v>
      </c>
      <c r="C454" s="214" t="s">
        <v>65</v>
      </c>
      <c r="D454" s="156" t="s">
        <v>66</v>
      </c>
      <c r="E454" s="13">
        <v>13000</v>
      </c>
      <c r="F454" s="108">
        <f>SUM(G454)</f>
        <v>0</v>
      </c>
      <c r="G454" s="104">
        <v>0</v>
      </c>
    </row>
    <row r="455" spans="1:7" ht="19.5" customHeight="1" thickBot="1" x14ac:dyDescent="0.45">
      <c r="B455" s="183" t="s">
        <v>64</v>
      </c>
      <c r="C455" s="202" t="s">
        <v>65</v>
      </c>
      <c r="D455" s="158" t="s">
        <v>71</v>
      </c>
      <c r="E455" s="17">
        <v>13000</v>
      </c>
      <c r="F455" s="110">
        <f>SUM(G455)</f>
        <v>0</v>
      </c>
      <c r="G455" s="106">
        <v>0</v>
      </c>
    </row>
    <row r="456" spans="1:7" ht="19.5" customHeight="1" thickBot="1" x14ac:dyDescent="0.45"/>
    <row r="457" spans="1:7" x14ac:dyDescent="0.4">
      <c r="A457" s="8">
        <v>11</v>
      </c>
      <c r="B457" s="181" t="s">
        <v>67</v>
      </c>
      <c r="C457" s="214" t="s">
        <v>68</v>
      </c>
      <c r="D457" s="156" t="s">
        <v>66</v>
      </c>
      <c r="E457" s="13">
        <v>16500</v>
      </c>
      <c r="F457" s="108">
        <f>SUM(G457)</f>
        <v>0</v>
      </c>
      <c r="G457" s="104">
        <v>0</v>
      </c>
    </row>
    <row r="458" spans="1:7" ht="19.5" customHeight="1" thickBot="1" x14ac:dyDescent="0.45">
      <c r="B458" s="183" t="s">
        <v>67</v>
      </c>
      <c r="C458" s="202" t="s">
        <v>68</v>
      </c>
      <c r="D458" s="158" t="s">
        <v>71</v>
      </c>
      <c r="E458" s="17">
        <v>16500</v>
      </c>
      <c r="F458" s="110">
        <f>SUM(G458)</f>
        <v>0</v>
      </c>
      <c r="G458" s="106">
        <v>0</v>
      </c>
    </row>
    <row r="459" spans="1:7" ht="19.5" customHeight="1" thickBot="1" x14ac:dyDescent="0.45"/>
    <row r="460" spans="1:7" x14ac:dyDescent="0.4">
      <c r="A460" s="8">
        <v>12</v>
      </c>
      <c r="B460" s="181" t="s">
        <v>69</v>
      </c>
      <c r="C460" s="214" t="s">
        <v>70</v>
      </c>
      <c r="D460" s="156" t="s">
        <v>66</v>
      </c>
      <c r="E460" s="13">
        <v>17650</v>
      </c>
      <c r="F460" s="108">
        <f>SUM(G460)</f>
        <v>1</v>
      </c>
      <c r="G460" s="104">
        <v>1</v>
      </c>
    </row>
    <row r="461" spans="1:7" ht="19.5" customHeight="1" thickBot="1" x14ac:dyDescent="0.45">
      <c r="B461" s="183" t="s">
        <v>69</v>
      </c>
      <c r="C461" s="202" t="s">
        <v>70</v>
      </c>
      <c r="D461" s="158" t="s">
        <v>71</v>
      </c>
      <c r="E461" s="17">
        <v>17650</v>
      </c>
      <c r="F461" s="110">
        <f>SUM(G461)</f>
        <v>0</v>
      </c>
      <c r="G461" s="106">
        <v>0</v>
      </c>
    </row>
    <row r="462" spans="1:7" ht="19.5" customHeight="1" thickBot="1" x14ac:dyDescent="0.45"/>
    <row r="463" spans="1:7" x14ac:dyDescent="0.4">
      <c r="A463" s="8">
        <v>13</v>
      </c>
      <c r="B463" s="181" t="s">
        <v>72</v>
      </c>
      <c r="C463" s="214" t="s">
        <v>73</v>
      </c>
      <c r="D463" s="156" t="s">
        <v>66</v>
      </c>
      <c r="E463" s="13">
        <v>24250</v>
      </c>
      <c r="F463" s="108">
        <f>SUM(G463)</f>
        <v>0</v>
      </c>
      <c r="G463" s="104">
        <v>0</v>
      </c>
    </row>
    <row r="464" spans="1:7" ht="19.5" customHeight="1" thickBot="1" x14ac:dyDescent="0.45">
      <c r="B464" s="183" t="s">
        <v>72</v>
      </c>
      <c r="C464" s="202" t="s">
        <v>73</v>
      </c>
      <c r="D464" s="158" t="s">
        <v>71</v>
      </c>
      <c r="E464" s="17">
        <v>24250</v>
      </c>
      <c r="F464" s="110">
        <f>SUM(G464)</f>
        <v>0</v>
      </c>
      <c r="G464" s="106">
        <v>0</v>
      </c>
    </row>
    <row r="465" spans="1:7" ht="19.5" customHeight="1" thickBot="1" x14ac:dyDescent="0.45"/>
    <row r="466" spans="1:7" s="150" customFormat="1" ht="21.75" customHeight="1" x14ac:dyDescent="0.4">
      <c r="A466" s="146">
        <v>14</v>
      </c>
      <c r="B466" s="192" t="s">
        <v>284</v>
      </c>
      <c r="C466" s="220" t="s">
        <v>74</v>
      </c>
      <c r="D466" s="177" t="s">
        <v>66</v>
      </c>
      <c r="E466" s="151">
        <v>32750</v>
      </c>
      <c r="F466" s="152">
        <f>SUM(G466)</f>
        <v>0</v>
      </c>
      <c r="G466" s="153">
        <v>0</v>
      </c>
    </row>
    <row r="467" spans="1:7" ht="19.5" customHeight="1" thickBot="1" x14ac:dyDescent="0.45">
      <c r="B467" s="183" t="s">
        <v>284</v>
      </c>
      <c r="C467" s="202" t="s">
        <v>74</v>
      </c>
      <c r="D467" s="158" t="s">
        <v>71</v>
      </c>
      <c r="E467" s="17">
        <v>32750</v>
      </c>
      <c r="F467" s="110">
        <f>SUM(G467)</f>
        <v>0</v>
      </c>
      <c r="G467" s="106">
        <v>0</v>
      </c>
    </row>
    <row r="468" spans="1:7" ht="19.5" customHeight="1" thickBot="1" x14ac:dyDescent="0.45"/>
    <row r="469" spans="1:7" ht="19.5" customHeight="1" thickBot="1" x14ac:dyDescent="0.45">
      <c r="A469" s="8">
        <v>15</v>
      </c>
      <c r="B469" s="193" t="s">
        <v>311</v>
      </c>
      <c r="C469" s="221" t="s">
        <v>75</v>
      </c>
      <c r="D469" s="167"/>
      <c r="E469" s="28">
        <v>9400</v>
      </c>
      <c r="F469" s="119">
        <f>SUM(G469)</f>
        <v>1</v>
      </c>
      <c r="G469" s="111">
        <v>1</v>
      </c>
    </row>
    <row r="470" spans="1:7" ht="19.5" customHeight="1" thickBot="1" x14ac:dyDescent="0.45"/>
    <row r="471" spans="1:7" ht="19.5" customHeight="1" thickBot="1" x14ac:dyDescent="0.45">
      <c r="A471" s="8">
        <v>16</v>
      </c>
      <c r="B471" s="193" t="s">
        <v>312</v>
      </c>
      <c r="C471" s="221" t="s">
        <v>44</v>
      </c>
      <c r="D471" s="167"/>
      <c r="E471" s="28">
        <v>10050</v>
      </c>
      <c r="F471" s="119">
        <f>SUM(G471)</f>
        <v>0</v>
      </c>
      <c r="G471" s="111">
        <v>0</v>
      </c>
    </row>
    <row r="472" spans="1:7" ht="19.5" customHeight="1" thickBot="1" x14ac:dyDescent="0.45"/>
    <row r="473" spans="1:7" ht="19.5" customHeight="1" thickBot="1" x14ac:dyDescent="0.45">
      <c r="A473" s="8">
        <v>17</v>
      </c>
      <c r="B473" s="193" t="s">
        <v>313</v>
      </c>
      <c r="C473" s="221" t="s">
        <v>76</v>
      </c>
      <c r="D473" s="167"/>
      <c r="E473" s="28">
        <v>35500</v>
      </c>
      <c r="F473" s="119">
        <f>SUM(G473)</f>
        <v>0</v>
      </c>
      <c r="G473" s="111">
        <v>0</v>
      </c>
    </row>
    <row r="474" spans="1:7" ht="19.5" customHeight="1" thickBot="1" x14ac:dyDescent="0.45"/>
    <row r="475" spans="1:7" ht="19.5" customHeight="1" thickBot="1" x14ac:dyDescent="0.45">
      <c r="A475" s="8">
        <v>18</v>
      </c>
      <c r="B475" s="193" t="s">
        <v>314</v>
      </c>
      <c r="C475" s="221" t="s">
        <v>76</v>
      </c>
      <c r="D475" s="167"/>
      <c r="E475" s="28">
        <v>40000</v>
      </c>
      <c r="F475" s="119">
        <f>SUM(G475)</f>
        <v>0</v>
      </c>
      <c r="G475" s="111">
        <v>0</v>
      </c>
    </row>
    <row r="476" spans="1:7" ht="19.5" customHeight="1" thickBot="1" x14ac:dyDescent="0.45"/>
    <row r="477" spans="1:7" ht="19.5" customHeight="1" thickBot="1" x14ac:dyDescent="0.45">
      <c r="A477" s="8">
        <v>19</v>
      </c>
      <c r="B477" s="193" t="s">
        <v>315</v>
      </c>
      <c r="C477" s="221" t="s">
        <v>77</v>
      </c>
      <c r="D477" s="167"/>
      <c r="E477" s="28">
        <v>18850</v>
      </c>
      <c r="F477" s="119">
        <f>SUM(G477)</f>
        <v>0</v>
      </c>
      <c r="G477" s="111">
        <v>0</v>
      </c>
    </row>
    <row r="478" spans="1:7" ht="19.5" customHeight="1" thickBot="1" x14ac:dyDescent="0.45"/>
    <row r="479" spans="1:7" ht="19.5" customHeight="1" thickBot="1" x14ac:dyDescent="0.45">
      <c r="A479" s="8">
        <v>20</v>
      </c>
      <c r="B479" s="193" t="s">
        <v>316</v>
      </c>
      <c r="C479" s="221" t="s">
        <v>77</v>
      </c>
      <c r="D479" s="167"/>
      <c r="E479" s="28">
        <v>18850</v>
      </c>
      <c r="F479" s="119">
        <f>SUM(G479)</f>
        <v>0</v>
      </c>
      <c r="G479" s="111">
        <v>0</v>
      </c>
    </row>
    <row r="480" spans="1:7" ht="19.5" customHeight="1" thickBot="1" x14ac:dyDescent="0.45"/>
    <row r="481" spans="1:7" ht="19.5" customHeight="1" thickBot="1" x14ac:dyDescent="0.45">
      <c r="A481" s="8">
        <v>21</v>
      </c>
      <c r="B481" s="193" t="s">
        <v>522</v>
      </c>
      <c r="C481" s="221" t="s">
        <v>78</v>
      </c>
      <c r="D481" s="167" t="s">
        <v>91</v>
      </c>
      <c r="E481" s="28">
        <v>20250</v>
      </c>
      <c r="F481" s="119">
        <f>SUM(G481)</f>
        <v>0</v>
      </c>
      <c r="G481" s="111">
        <v>0</v>
      </c>
    </row>
    <row r="482" spans="1:7" ht="19.5" customHeight="1" thickBot="1" x14ac:dyDescent="0.45"/>
    <row r="483" spans="1:7" ht="19.5" customHeight="1" thickBot="1" x14ac:dyDescent="0.45">
      <c r="A483" s="8">
        <v>22</v>
      </c>
      <c r="B483" s="193" t="s">
        <v>523</v>
      </c>
      <c r="C483" s="221" t="s">
        <v>79</v>
      </c>
      <c r="D483" s="167" t="s">
        <v>91</v>
      </c>
      <c r="E483" s="28">
        <v>21700</v>
      </c>
      <c r="F483" s="119">
        <f>SUM(G483)</f>
        <v>0</v>
      </c>
      <c r="G483" s="111">
        <v>0</v>
      </c>
    </row>
    <row r="484" spans="1:7" ht="19.5" customHeight="1" thickBot="1" x14ac:dyDescent="0.45"/>
    <row r="485" spans="1:7" ht="19.5" customHeight="1" thickBot="1" x14ac:dyDescent="0.45">
      <c r="A485" s="8">
        <v>23</v>
      </c>
      <c r="B485" s="193" t="s">
        <v>524</v>
      </c>
      <c r="C485" s="221" t="s">
        <v>80</v>
      </c>
      <c r="D485" s="167" t="s">
        <v>91</v>
      </c>
      <c r="E485" s="28">
        <v>23850</v>
      </c>
      <c r="F485" s="119">
        <f>SUM(G485)</f>
        <v>0</v>
      </c>
      <c r="G485" s="111">
        <v>0</v>
      </c>
    </row>
    <row r="486" spans="1:7" ht="19.5" customHeight="1" thickBot="1" x14ac:dyDescent="0.45"/>
    <row r="487" spans="1:7" ht="19.5" customHeight="1" thickBot="1" x14ac:dyDescent="0.45">
      <c r="A487" s="8">
        <v>24</v>
      </c>
      <c r="B487" s="193" t="s">
        <v>525</v>
      </c>
      <c r="C487" s="221" t="s">
        <v>109</v>
      </c>
      <c r="D487" s="167" t="s">
        <v>91</v>
      </c>
      <c r="E487" s="28">
        <v>21100</v>
      </c>
      <c r="F487" s="119">
        <f>SUM(G487)</f>
        <v>3</v>
      </c>
      <c r="G487" s="111">
        <v>3</v>
      </c>
    </row>
    <row r="488" spans="1:7" ht="19.5" customHeight="1" thickBot="1" x14ac:dyDescent="0.45"/>
    <row r="489" spans="1:7" ht="19.5" customHeight="1" thickBot="1" x14ac:dyDescent="0.45">
      <c r="A489" s="8">
        <v>25</v>
      </c>
      <c r="B489" s="193" t="s">
        <v>526</v>
      </c>
      <c r="C489" s="221" t="s">
        <v>82</v>
      </c>
      <c r="D489" s="167" t="s">
        <v>91</v>
      </c>
      <c r="E489" s="28">
        <v>22350</v>
      </c>
      <c r="F489" s="119">
        <f>SUM(G489)</f>
        <v>0</v>
      </c>
      <c r="G489" s="111">
        <v>0</v>
      </c>
    </row>
    <row r="490" spans="1:7" ht="19.5" customHeight="1" thickBot="1" x14ac:dyDescent="0.45"/>
    <row r="491" spans="1:7" ht="19.5" customHeight="1" thickBot="1" x14ac:dyDescent="0.45">
      <c r="A491" s="8">
        <v>26</v>
      </c>
      <c r="B491" s="193" t="s">
        <v>527</v>
      </c>
      <c r="C491" s="221" t="s">
        <v>83</v>
      </c>
      <c r="D491" s="167" t="s">
        <v>91</v>
      </c>
      <c r="E491" s="28">
        <v>26050</v>
      </c>
      <c r="F491" s="119">
        <f>SUM(G491)</f>
        <v>5</v>
      </c>
      <c r="G491" s="111">
        <v>5</v>
      </c>
    </row>
    <row r="492" spans="1:7" ht="19.5" customHeight="1" thickBot="1" x14ac:dyDescent="0.45"/>
    <row r="493" spans="1:7" ht="19.5" customHeight="1" thickBot="1" x14ac:dyDescent="0.45">
      <c r="A493" s="8">
        <v>27</v>
      </c>
      <c r="B493" s="193" t="s">
        <v>528</v>
      </c>
      <c r="C493" s="221" t="s">
        <v>108</v>
      </c>
      <c r="D493" s="167" t="s">
        <v>91</v>
      </c>
      <c r="E493" s="28">
        <v>19090</v>
      </c>
      <c r="F493" s="119">
        <f>SUM(G493)</f>
        <v>4</v>
      </c>
      <c r="G493" s="111">
        <v>4</v>
      </c>
    </row>
    <row r="494" spans="1:7" ht="19.5" customHeight="1" thickBot="1" x14ac:dyDescent="0.45"/>
    <row r="495" spans="1:7" ht="19.5" customHeight="1" thickBot="1" x14ac:dyDescent="0.45">
      <c r="A495" s="8">
        <v>28</v>
      </c>
      <c r="B495" s="193" t="s">
        <v>376</v>
      </c>
      <c r="C495" s="221" t="s">
        <v>84</v>
      </c>
      <c r="D495" s="167" t="s">
        <v>88</v>
      </c>
      <c r="E495" s="28">
        <v>18000</v>
      </c>
      <c r="F495" s="119">
        <f>SUM(G495)</f>
        <v>0</v>
      </c>
      <c r="G495" s="111">
        <v>0</v>
      </c>
    </row>
    <row r="496" spans="1:7" ht="19.5" customHeight="1" thickBot="1" x14ac:dyDescent="0.45"/>
    <row r="497" spans="1:7" ht="19.5" customHeight="1" thickBot="1" x14ac:dyDescent="0.45">
      <c r="A497" s="8">
        <v>29</v>
      </c>
      <c r="B497" s="193" t="s">
        <v>377</v>
      </c>
      <c r="C497" s="221" t="s">
        <v>85</v>
      </c>
      <c r="D497" s="167" t="s">
        <v>88</v>
      </c>
      <c r="E497" s="28">
        <v>20900</v>
      </c>
      <c r="F497" s="119">
        <f>SUM(G497)</f>
        <v>0</v>
      </c>
      <c r="G497" s="111">
        <v>0</v>
      </c>
    </row>
    <row r="498" spans="1:7" ht="19.5" customHeight="1" thickBot="1" x14ac:dyDescent="0.45"/>
    <row r="499" spans="1:7" ht="19.5" customHeight="1" thickBot="1" x14ac:dyDescent="0.45">
      <c r="A499" s="8">
        <v>30</v>
      </c>
      <c r="B499" s="193" t="s">
        <v>378</v>
      </c>
      <c r="C499" s="221" t="s">
        <v>86</v>
      </c>
      <c r="D499" s="167" t="s">
        <v>88</v>
      </c>
      <c r="E499" s="28">
        <v>23950</v>
      </c>
      <c r="F499" s="119">
        <f>SUM(G499)</f>
        <v>0</v>
      </c>
      <c r="G499" s="111">
        <v>0</v>
      </c>
    </row>
    <row r="500" spans="1:7" ht="19.5" customHeight="1" thickBot="1" x14ac:dyDescent="0.45"/>
    <row r="501" spans="1:7" ht="25.5" customHeight="1" thickBot="1" x14ac:dyDescent="0.45">
      <c r="A501" s="8">
        <v>31</v>
      </c>
      <c r="B501" s="194" t="s">
        <v>317</v>
      </c>
      <c r="C501" s="221" t="s">
        <v>87</v>
      </c>
      <c r="D501" s="167" t="s">
        <v>89</v>
      </c>
      <c r="E501" s="28">
        <v>31200</v>
      </c>
      <c r="F501" s="119">
        <f>SUM(G501)</f>
        <v>0</v>
      </c>
      <c r="G501" s="111">
        <v>0</v>
      </c>
    </row>
    <row r="502" spans="1:7" ht="19.5" customHeight="1" thickBot="1" x14ac:dyDescent="0.45"/>
    <row r="503" spans="1:7" ht="19.5" customHeight="1" thickBot="1" x14ac:dyDescent="0.45">
      <c r="A503" s="8">
        <v>32</v>
      </c>
      <c r="B503" s="193" t="s">
        <v>380</v>
      </c>
      <c r="C503" s="221" t="s">
        <v>90</v>
      </c>
      <c r="D503" s="167" t="s">
        <v>91</v>
      </c>
      <c r="E503" s="28">
        <v>9400</v>
      </c>
      <c r="F503" s="119">
        <f>SUM(G503)</f>
        <v>2</v>
      </c>
      <c r="G503" s="111">
        <v>2</v>
      </c>
    </row>
    <row r="504" spans="1:7" ht="19.5" customHeight="1" thickBot="1" x14ac:dyDescent="0.45"/>
    <row r="505" spans="1:7" ht="19.5" customHeight="1" thickBot="1" x14ac:dyDescent="0.45">
      <c r="A505" s="8">
        <v>33</v>
      </c>
      <c r="B505" s="193" t="s">
        <v>381</v>
      </c>
      <c r="C505" s="221" t="s">
        <v>92</v>
      </c>
      <c r="D505" s="167" t="s">
        <v>91</v>
      </c>
      <c r="E505" s="28">
        <v>11550</v>
      </c>
      <c r="F505" s="119">
        <f>SUM(G505)</f>
        <v>7</v>
      </c>
      <c r="G505" s="111">
        <v>7</v>
      </c>
    </row>
    <row r="506" spans="1:7" ht="19.5" customHeight="1" thickBot="1" x14ac:dyDescent="0.45"/>
    <row r="507" spans="1:7" ht="19.5" customHeight="1" thickBot="1" x14ac:dyDescent="0.45">
      <c r="A507" s="8">
        <v>34</v>
      </c>
      <c r="B507" s="193" t="s">
        <v>411</v>
      </c>
      <c r="C507" s="221" t="s">
        <v>93</v>
      </c>
      <c r="D507" s="167" t="s">
        <v>94</v>
      </c>
      <c r="E507" s="28">
        <v>11850</v>
      </c>
      <c r="F507" s="119">
        <f>SUM(G507)</f>
        <v>1</v>
      </c>
      <c r="G507" s="111">
        <v>1</v>
      </c>
    </row>
    <row r="508" spans="1:7" ht="19.5" customHeight="1" thickBot="1" x14ac:dyDescent="0.45"/>
    <row r="509" spans="1:7" ht="19.5" customHeight="1" thickBot="1" x14ac:dyDescent="0.45">
      <c r="A509" s="8">
        <v>35</v>
      </c>
      <c r="B509" s="193" t="s">
        <v>382</v>
      </c>
      <c r="C509" s="221" t="s">
        <v>95</v>
      </c>
      <c r="D509" s="167" t="s">
        <v>94</v>
      </c>
      <c r="E509" s="28">
        <v>12700</v>
      </c>
      <c r="F509" s="119">
        <f>SUM(G509)</f>
        <v>3</v>
      </c>
      <c r="G509" s="111">
        <v>3</v>
      </c>
    </row>
    <row r="510" spans="1:7" ht="19.5" customHeight="1" thickBot="1" x14ac:dyDescent="0.45"/>
    <row r="511" spans="1:7" ht="19.5" customHeight="1" thickBot="1" x14ac:dyDescent="0.45">
      <c r="A511" s="8">
        <v>36</v>
      </c>
      <c r="B511" s="193" t="s">
        <v>383</v>
      </c>
      <c r="C511" s="221" t="s">
        <v>44</v>
      </c>
      <c r="D511" s="167" t="s">
        <v>91</v>
      </c>
      <c r="E511" s="28">
        <v>13850</v>
      </c>
      <c r="F511" s="119">
        <f>SUM(G511)</f>
        <v>7</v>
      </c>
      <c r="G511" s="111">
        <v>7</v>
      </c>
    </row>
    <row r="512" spans="1:7" ht="19.5" customHeight="1" thickBot="1" x14ac:dyDescent="0.45"/>
    <row r="513" spans="1:7" ht="19.5" customHeight="1" thickBot="1" x14ac:dyDescent="0.45">
      <c r="A513" s="8">
        <v>37</v>
      </c>
      <c r="B513" s="193" t="s">
        <v>384</v>
      </c>
      <c r="C513" s="221" t="s">
        <v>96</v>
      </c>
      <c r="D513" s="167" t="s">
        <v>91</v>
      </c>
      <c r="E513" s="28">
        <v>15000</v>
      </c>
      <c r="F513" s="119">
        <f>SUM(G513)</f>
        <v>4</v>
      </c>
      <c r="G513" s="111">
        <v>4</v>
      </c>
    </row>
    <row r="514" spans="1:7" ht="19.5" customHeight="1" thickBot="1" x14ac:dyDescent="0.45"/>
    <row r="515" spans="1:7" ht="19.5" customHeight="1" thickBot="1" x14ac:dyDescent="0.45">
      <c r="A515" s="8">
        <v>38</v>
      </c>
      <c r="B515" s="193" t="s">
        <v>385</v>
      </c>
      <c r="C515" s="221" t="s">
        <v>97</v>
      </c>
      <c r="D515" s="167" t="s">
        <v>91</v>
      </c>
      <c r="E515" s="28">
        <v>17500</v>
      </c>
      <c r="F515" s="119">
        <f>SUM(G515)</f>
        <v>2</v>
      </c>
      <c r="G515" s="111">
        <v>2</v>
      </c>
    </row>
    <row r="516" spans="1:7" ht="19.5" customHeight="1" thickBot="1" x14ac:dyDescent="0.45"/>
    <row r="517" spans="1:7" ht="19.5" customHeight="1" thickBot="1" x14ac:dyDescent="0.45">
      <c r="A517" s="8">
        <v>39</v>
      </c>
      <c r="B517" s="193" t="s">
        <v>386</v>
      </c>
      <c r="C517" s="221" t="s">
        <v>81</v>
      </c>
      <c r="D517" s="167" t="s">
        <v>94</v>
      </c>
      <c r="E517" s="28">
        <v>19400</v>
      </c>
      <c r="F517" s="119">
        <f>SUM(G517)</f>
        <v>1</v>
      </c>
      <c r="G517" s="111">
        <v>1</v>
      </c>
    </row>
    <row r="518" spans="1:7" ht="19.5" customHeight="1" thickBot="1" x14ac:dyDescent="0.45"/>
    <row r="519" spans="1:7" ht="19.5" customHeight="1" thickBot="1" x14ac:dyDescent="0.45">
      <c r="A519" s="8">
        <v>40</v>
      </c>
      <c r="B519" s="193" t="s">
        <v>387</v>
      </c>
      <c r="C519" s="221" t="s">
        <v>98</v>
      </c>
      <c r="D519" s="167" t="s">
        <v>684</v>
      </c>
      <c r="E519" s="28">
        <v>19850</v>
      </c>
      <c r="F519" s="119">
        <f>SUM(G519)</f>
        <v>1</v>
      </c>
      <c r="G519" s="111">
        <v>1</v>
      </c>
    </row>
    <row r="520" spans="1:7" ht="19.5" customHeight="1" thickBot="1" x14ac:dyDescent="0.45"/>
    <row r="521" spans="1:7" ht="19.5" customHeight="1" thickBot="1" x14ac:dyDescent="0.45">
      <c r="A521" s="8">
        <v>41</v>
      </c>
      <c r="B521" s="193" t="s">
        <v>388</v>
      </c>
      <c r="C521" s="221" t="s">
        <v>99</v>
      </c>
      <c r="D521" s="167" t="s">
        <v>91</v>
      </c>
      <c r="E521" s="28">
        <v>20600</v>
      </c>
      <c r="F521" s="119">
        <f>SUM(G521)</f>
        <v>1</v>
      </c>
      <c r="G521" s="111">
        <v>1</v>
      </c>
    </row>
    <row r="522" spans="1:7" ht="19.5" customHeight="1" thickBot="1" x14ac:dyDescent="0.45"/>
    <row r="523" spans="1:7" s="150" customFormat="1" ht="23.25" customHeight="1" thickBot="1" x14ac:dyDescent="0.45">
      <c r="A523" s="146">
        <v>42</v>
      </c>
      <c r="B523" s="194" t="s">
        <v>371</v>
      </c>
      <c r="C523" s="222" t="s">
        <v>100</v>
      </c>
      <c r="D523" s="171" t="s">
        <v>91</v>
      </c>
      <c r="E523" s="147">
        <v>12000</v>
      </c>
      <c r="F523" s="148">
        <f>SUM(G523)</f>
        <v>2</v>
      </c>
      <c r="G523" s="149">
        <v>2</v>
      </c>
    </row>
    <row r="524" spans="1:7" ht="19.5" customHeight="1" thickBot="1" x14ac:dyDescent="0.45"/>
    <row r="525" spans="1:7" s="150" customFormat="1" ht="26.25" customHeight="1" thickBot="1" x14ac:dyDescent="0.45">
      <c r="A525" s="146">
        <v>43</v>
      </c>
      <c r="B525" s="194" t="s">
        <v>372</v>
      </c>
      <c r="C525" s="222" t="s">
        <v>101</v>
      </c>
      <c r="D525" s="171" t="s">
        <v>91</v>
      </c>
      <c r="E525" s="147">
        <v>13100</v>
      </c>
      <c r="F525" s="148">
        <f>SUM(G525)</f>
        <v>2</v>
      </c>
      <c r="G525" s="149">
        <v>2</v>
      </c>
    </row>
    <row r="526" spans="1:7" ht="19.5" customHeight="1" thickBot="1" x14ac:dyDescent="0.45"/>
    <row r="527" spans="1:7" s="150" customFormat="1" ht="27" customHeight="1" thickBot="1" x14ac:dyDescent="0.45">
      <c r="A527" s="146">
        <v>44</v>
      </c>
      <c r="B527" s="194" t="s">
        <v>373</v>
      </c>
      <c r="C527" s="222" t="s">
        <v>102</v>
      </c>
      <c r="D527" s="171" t="s">
        <v>91</v>
      </c>
      <c r="E527" s="147">
        <v>16500</v>
      </c>
      <c r="F527" s="148">
        <f>SUM(G527)</f>
        <v>2</v>
      </c>
      <c r="G527" s="149">
        <v>2</v>
      </c>
    </row>
    <row r="528" spans="1:7" ht="19.5" customHeight="1" thickBot="1" x14ac:dyDescent="0.45"/>
    <row r="529" spans="1:7" s="150" customFormat="1" ht="27.75" customHeight="1" thickBot="1" x14ac:dyDescent="0.45">
      <c r="A529" s="146">
        <v>45</v>
      </c>
      <c r="B529" s="194" t="s">
        <v>374</v>
      </c>
      <c r="C529" s="222" t="s">
        <v>103</v>
      </c>
      <c r="D529" s="171" t="s">
        <v>91</v>
      </c>
      <c r="E529" s="147">
        <v>19000</v>
      </c>
      <c r="F529" s="148">
        <f>SUM(G529)</f>
        <v>0</v>
      </c>
      <c r="G529" s="149">
        <v>0</v>
      </c>
    </row>
    <row r="530" spans="1:7" ht="19.5" customHeight="1" thickBot="1" x14ac:dyDescent="0.45"/>
    <row r="531" spans="1:7" s="150" customFormat="1" ht="28.5" customHeight="1" thickBot="1" x14ac:dyDescent="0.45">
      <c r="A531" s="146">
        <v>46</v>
      </c>
      <c r="B531" s="194" t="s">
        <v>687</v>
      </c>
      <c r="C531" s="222" t="s">
        <v>104</v>
      </c>
      <c r="D531" s="171" t="s">
        <v>94</v>
      </c>
      <c r="E531" s="147">
        <v>26050</v>
      </c>
      <c r="F531" s="148">
        <f>SUM(G531)</f>
        <v>5</v>
      </c>
      <c r="G531" s="149">
        <v>5</v>
      </c>
    </row>
    <row r="532" spans="1:7" ht="19.5" customHeight="1" thickBot="1" x14ac:dyDescent="0.45"/>
    <row r="533" spans="1:7" ht="19.5" customHeight="1" thickBot="1" x14ac:dyDescent="0.45">
      <c r="A533" s="8">
        <v>47</v>
      </c>
      <c r="B533" s="193" t="s">
        <v>356</v>
      </c>
      <c r="C533" s="221" t="s">
        <v>105</v>
      </c>
      <c r="D533" s="167" t="s">
        <v>91</v>
      </c>
      <c r="E533" s="28">
        <v>10100</v>
      </c>
      <c r="F533" s="119">
        <f>SUM(G533)</f>
        <v>2</v>
      </c>
      <c r="G533" s="111">
        <v>2</v>
      </c>
    </row>
    <row r="534" spans="1:7" ht="19.5" customHeight="1" thickBot="1" x14ac:dyDescent="0.45"/>
    <row r="535" spans="1:7" ht="19.5" customHeight="1" thickBot="1" x14ac:dyDescent="0.45">
      <c r="A535" s="8">
        <v>48</v>
      </c>
      <c r="B535" s="193" t="s">
        <v>357</v>
      </c>
      <c r="C535" s="221" t="s">
        <v>106</v>
      </c>
      <c r="D535" s="167" t="s">
        <v>91</v>
      </c>
      <c r="E535" s="28">
        <v>10700</v>
      </c>
      <c r="F535" s="119">
        <f>SUM(G535)</f>
        <v>0</v>
      </c>
      <c r="G535" s="111">
        <v>0</v>
      </c>
    </row>
    <row r="536" spans="1:7" ht="19.5" customHeight="1" thickBot="1" x14ac:dyDescent="0.45"/>
    <row r="537" spans="1:7" ht="19.5" customHeight="1" thickBot="1" x14ac:dyDescent="0.45">
      <c r="A537" s="8">
        <v>49</v>
      </c>
      <c r="B537" s="193" t="s">
        <v>358</v>
      </c>
      <c r="C537" s="221" t="s">
        <v>68</v>
      </c>
      <c r="D537" s="167" t="s">
        <v>91</v>
      </c>
      <c r="E537" s="28">
        <v>11300</v>
      </c>
      <c r="F537" s="119">
        <f>SUM(G537)</f>
        <v>5</v>
      </c>
      <c r="G537" s="111">
        <v>5</v>
      </c>
    </row>
    <row r="538" spans="1:7" ht="19.5" customHeight="1" thickBot="1" x14ac:dyDescent="0.45"/>
    <row r="539" spans="1:7" ht="19.5" customHeight="1" thickBot="1" x14ac:dyDescent="0.45">
      <c r="A539" s="8">
        <v>50</v>
      </c>
      <c r="B539" s="193" t="s">
        <v>359</v>
      </c>
      <c r="C539" s="221" t="s">
        <v>75</v>
      </c>
      <c r="D539" s="167" t="s">
        <v>91</v>
      </c>
      <c r="E539" s="28">
        <v>11750</v>
      </c>
      <c r="F539" s="119">
        <f>SUM(G539)</f>
        <v>0</v>
      </c>
      <c r="G539" s="111">
        <v>0</v>
      </c>
    </row>
    <row r="540" spans="1:7" ht="19.5" customHeight="1" thickBot="1" x14ac:dyDescent="0.45"/>
    <row r="541" spans="1:7" ht="19.5" customHeight="1" thickBot="1" x14ac:dyDescent="0.45">
      <c r="A541" s="8">
        <v>51</v>
      </c>
      <c r="B541" s="193" t="s">
        <v>360</v>
      </c>
      <c r="C541" s="221" t="s">
        <v>70</v>
      </c>
      <c r="D541" s="167" t="s">
        <v>91</v>
      </c>
      <c r="E541" s="28">
        <v>12100</v>
      </c>
      <c r="F541" s="119">
        <f>SUM(G541)</f>
        <v>3</v>
      </c>
      <c r="G541" s="111">
        <v>3</v>
      </c>
    </row>
    <row r="542" spans="1:7" ht="19.5" customHeight="1" thickBot="1" x14ac:dyDescent="0.45"/>
    <row r="543" spans="1:7" ht="19.5" customHeight="1" thickBot="1" x14ac:dyDescent="0.45">
      <c r="A543" s="8">
        <v>52</v>
      </c>
      <c r="B543" s="193" t="s">
        <v>410</v>
      </c>
      <c r="C543" s="221" t="s">
        <v>44</v>
      </c>
      <c r="D543" s="167" t="s">
        <v>91</v>
      </c>
      <c r="E543" s="28">
        <v>13200</v>
      </c>
      <c r="F543" s="119">
        <f>SUM(G543)</f>
        <v>5</v>
      </c>
      <c r="G543" s="111">
        <v>5</v>
      </c>
    </row>
    <row r="544" spans="1:7" ht="19.5" customHeight="1" thickBot="1" x14ac:dyDescent="0.45"/>
    <row r="545" spans="1:7" ht="19.5" customHeight="1" thickBot="1" x14ac:dyDescent="0.45">
      <c r="A545" s="8">
        <v>53</v>
      </c>
      <c r="B545" s="193" t="s">
        <v>361</v>
      </c>
      <c r="C545" s="221" t="s">
        <v>107</v>
      </c>
      <c r="D545" s="167" t="s">
        <v>91</v>
      </c>
      <c r="E545" s="28">
        <v>15500</v>
      </c>
      <c r="F545" s="119">
        <f>SUM(G545)</f>
        <v>8</v>
      </c>
      <c r="G545" s="111">
        <v>8</v>
      </c>
    </row>
    <row r="546" spans="1:7" ht="19.5" customHeight="1" thickBot="1" x14ac:dyDescent="0.45"/>
    <row r="547" spans="1:7" ht="19.5" customHeight="1" thickBot="1" x14ac:dyDescent="0.45">
      <c r="A547" s="8">
        <v>54</v>
      </c>
      <c r="B547" s="193" t="s">
        <v>322</v>
      </c>
      <c r="C547" s="221" t="s">
        <v>108</v>
      </c>
      <c r="D547" s="167" t="s">
        <v>91</v>
      </c>
      <c r="E547" s="28">
        <v>18500</v>
      </c>
      <c r="F547" s="119">
        <f>SUM(G547)</f>
        <v>9</v>
      </c>
      <c r="G547" s="111">
        <v>9</v>
      </c>
    </row>
    <row r="548" spans="1:7" ht="19.5" customHeight="1" thickBot="1" x14ac:dyDescent="0.45"/>
    <row r="549" spans="1:7" ht="19.5" customHeight="1" thickBot="1" x14ac:dyDescent="0.45">
      <c r="A549" s="8">
        <v>55</v>
      </c>
      <c r="B549" s="193" t="s">
        <v>362</v>
      </c>
      <c r="C549" s="221" t="s">
        <v>109</v>
      </c>
      <c r="D549" s="167" t="s">
        <v>91</v>
      </c>
      <c r="E549" s="28">
        <v>19500</v>
      </c>
      <c r="F549" s="119">
        <f>SUM(G549)</f>
        <v>1</v>
      </c>
      <c r="G549" s="111">
        <v>1</v>
      </c>
    </row>
    <row r="550" spans="1:7" ht="19.5" customHeight="1" thickBot="1" x14ac:dyDescent="0.45"/>
    <row r="551" spans="1:7" ht="19.5" customHeight="1" thickBot="1" x14ac:dyDescent="0.45">
      <c r="A551" s="8">
        <v>56</v>
      </c>
      <c r="B551" s="193" t="s">
        <v>323</v>
      </c>
      <c r="C551" s="221" t="s">
        <v>99</v>
      </c>
      <c r="D551" s="167" t="s">
        <v>91</v>
      </c>
      <c r="E551" s="28">
        <v>19600</v>
      </c>
      <c r="F551" s="119">
        <f>SUM(G551)</f>
        <v>5</v>
      </c>
      <c r="G551" s="111">
        <v>5</v>
      </c>
    </row>
    <row r="552" spans="1:7" ht="19.5" customHeight="1" thickBot="1" x14ac:dyDescent="0.45"/>
    <row r="553" spans="1:7" ht="19.5" customHeight="1" thickBot="1" x14ac:dyDescent="0.45">
      <c r="A553" s="8">
        <v>57</v>
      </c>
      <c r="B553" s="193" t="s">
        <v>363</v>
      </c>
      <c r="C553" s="221" t="s">
        <v>82</v>
      </c>
      <c r="D553" s="167" t="s">
        <v>91</v>
      </c>
      <c r="E553" s="28">
        <v>20250</v>
      </c>
      <c r="F553" s="119">
        <f>SUM(G553)</f>
        <v>0</v>
      </c>
      <c r="G553" s="111">
        <v>0</v>
      </c>
    </row>
    <row r="554" spans="1:7" ht="19.5" customHeight="1" thickBot="1" x14ac:dyDescent="0.45"/>
    <row r="555" spans="1:7" ht="19.5" customHeight="1" thickBot="1" x14ac:dyDescent="0.45">
      <c r="A555" s="8">
        <v>58</v>
      </c>
      <c r="B555" s="193" t="s">
        <v>364</v>
      </c>
      <c r="C555" s="221" t="s">
        <v>104</v>
      </c>
      <c r="D555" s="167" t="s">
        <v>91</v>
      </c>
      <c r="E555" s="28">
        <v>23600</v>
      </c>
      <c r="F555" s="119">
        <f>SUM(G555)</f>
        <v>1</v>
      </c>
      <c r="G555" s="111">
        <v>1</v>
      </c>
    </row>
    <row r="556" spans="1:7" ht="19.5" customHeight="1" thickBot="1" x14ac:dyDescent="0.45"/>
    <row r="557" spans="1:7" ht="19.5" customHeight="1" thickBot="1" x14ac:dyDescent="0.45">
      <c r="A557" s="8">
        <v>59</v>
      </c>
      <c r="B557" s="193" t="s">
        <v>353</v>
      </c>
      <c r="C557" s="221" t="s">
        <v>110</v>
      </c>
      <c r="D557" s="167" t="s">
        <v>91</v>
      </c>
      <c r="E557" s="28">
        <v>19500</v>
      </c>
      <c r="F557" s="119">
        <f>SUM(G557)</f>
        <v>4</v>
      </c>
      <c r="G557" s="111">
        <v>4</v>
      </c>
    </row>
    <row r="558" spans="1:7" ht="19.5" customHeight="1" thickBot="1" x14ac:dyDescent="0.45"/>
    <row r="559" spans="1:7" ht="19.5" customHeight="1" thickBot="1" x14ac:dyDescent="0.45">
      <c r="A559" s="8">
        <v>60</v>
      </c>
      <c r="B559" s="193" t="s">
        <v>354</v>
      </c>
      <c r="C559" s="221" t="s">
        <v>108</v>
      </c>
      <c r="D559" s="167" t="s">
        <v>91</v>
      </c>
      <c r="E559" s="28">
        <v>19800</v>
      </c>
      <c r="F559" s="119">
        <f>SUM(G559)</f>
        <v>5</v>
      </c>
      <c r="G559" s="111">
        <v>5</v>
      </c>
    </row>
    <row r="560" spans="1:7" ht="19.5" customHeight="1" thickBot="1" x14ac:dyDescent="0.45"/>
    <row r="561" spans="1:7" ht="19.5" customHeight="1" thickBot="1" x14ac:dyDescent="0.45">
      <c r="A561" s="8">
        <v>61</v>
      </c>
      <c r="B561" s="193" t="s">
        <v>355</v>
      </c>
      <c r="C561" s="221" t="s">
        <v>111</v>
      </c>
      <c r="D561" s="167" t="s">
        <v>91</v>
      </c>
      <c r="E561" s="28">
        <v>20600</v>
      </c>
      <c r="F561" s="119">
        <v>2</v>
      </c>
      <c r="G561" s="111">
        <v>2</v>
      </c>
    </row>
    <row r="562" spans="1:7" ht="19.5" customHeight="1" thickBot="1" x14ac:dyDescent="0.45"/>
    <row r="563" spans="1:7" ht="19.5" customHeight="1" thickBot="1" x14ac:dyDescent="0.45">
      <c r="A563" s="8">
        <v>62</v>
      </c>
      <c r="B563" s="193" t="s">
        <v>352</v>
      </c>
      <c r="C563" s="221" t="s">
        <v>112</v>
      </c>
      <c r="D563" s="167" t="s">
        <v>91</v>
      </c>
      <c r="E563" s="28">
        <v>21700</v>
      </c>
      <c r="F563" s="119">
        <f>SUM(G563)</f>
        <v>6</v>
      </c>
      <c r="G563" s="111">
        <v>6</v>
      </c>
    </row>
    <row r="564" spans="1:7" ht="19.5" customHeight="1" thickBot="1" x14ac:dyDescent="0.45"/>
    <row r="565" spans="1:7" ht="19.5" customHeight="1" thickBot="1" x14ac:dyDescent="0.45">
      <c r="A565" s="8">
        <v>63</v>
      </c>
      <c r="B565" s="193" t="s">
        <v>351</v>
      </c>
      <c r="C565" s="221" t="s">
        <v>104</v>
      </c>
      <c r="D565" s="167" t="s">
        <v>91</v>
      </c>
      <c r="E565" s="28">
        <v>23600</v>
      </c>
      <c r="F565" s="119">
        <f>SUM(G565)</f>
        <v>0</v>
      </c>
      <c r="G565" s="111">
        <v>0</v>
      </c>
    </row>
    <row r="566" spans="1:7" ht="19.5" customHeight="1" thickBot="1" x14ac:dyDescent="0.45"/>
    <row r="567" spans="1:7" ht="19.5" customHeight="1" thickBot="1" x14ac:dyDescent="0.45">
      <c r="A567" s="8">
        <v>64</v>
      </c>
      <c r="B567" s="193" t="s">
        <v>369</v>
      </c>
      <c r="C567" s="221" t="s">
        <v>113</v>
      </c>
      <c r="D567" s="167" t="s">
        <v>91</v>
      </c>
      <c r="E567" s="28">
        <v>26100</v>
      </c>
      <c r="F567" s="119">
        <f>SUM(G567)</f>
        <v>4</v>
      </c>
      <c r="G567" s="111">
        <v>4</v>
      </c>
    </row>
    <row r="568" spans="1:7" ht="19.5" customHeight="1" thickBot="1" x14ac:dyDescent="0.45"/>
    <row r="569" spans="1:7" ht="19.5" customHeight="1" thickBot="1" x14ac:dyDescent="0.45">
      <c r="A569" s="8">
        <v>65</v>
      </c>
      <c r="B569" s="193" t="s">
        <v>370</v>
      </c>
      <c r="C569" s="221" t="s">
        <v>114</v>
      </c>
      <c r="D569" s="167" t="s">
        <v>91</v>
      </c>
      <c r="E569" s="28">
        <v>28100</v>
      </c>
      <c r="F569" s="119">
        <f>SUM(G569)</f>
        <v>0</v>
      </c>
      <c r="G569" s="111">
        <v>0</v>
      </c>
    </row>
    <row r="570" spans="1:7" ht="19.5" customHeight="1" thickBot="1" x14ac:dyDescent="0.45"/>
    <row r="571" spans="1:7" ht="19.5" customHeight="1" thickBot="1" x14ac:dyDescent="0.45">
      <c r="A571" s="8">
        <v>66</v>
      </c>
      <c r="B571" s="193" t="s">
        <v>513</v>
      </c>
      <c r="C571" s="221" t="s">
        <v>115</v>
      </c>
      <c r="D571" s="167" t="s">
        <v>116</v>
      </c>
      <c r="E571" s="28">
        <v>7460</v>
      </c>
      <c r="F571" s="119">
        <f>SUM(G571)</f>
        <v>1</v>
      </c>
      <c r="G571" s="111">
        <v>1</v>
      </c>
    </row>
    <row r="572" spans="1:7" ht="19.5" customHeight="1" thickBot="1" x14ac:dyDescent="0.45"/>
    <row r="573" spans="1:7" ht="19.5" customHeight="1" thickBot="1" x14ac:dyDescent="0.45">
      <c r="A573" s="8">
        <v>67</v>
      </c>
      <c r="B573" s="193" t="s">
        <v>514</v>
      </c>
      <c r="C573" s="221" t="s">
        <v>117</v>
      </c>
      <c r="D573" s="167" t="s">
        <v>116</v>
      </c>
      <c r="E573" s="28">
        <v>7900</v>
      </c>
      <c r="F573" s="119">
        <f>SUM(G573)</f>
        <v>0</v>
      </c>
      <c r="G573" s="111">
        <v>0</v>
      </c>
    </row>
    <row r="574" spans="1:7" ht="19.5" customHeight="1" thickBot="1" x14ac:dyDescent="0.45"/>
    <row r="575" spans="1:7" ht="19.5" customHeight="1" thickBot="1" x14ac:dyDescent="0.45">
      <c r="A575" s="8">
        <v>68</v>
      </c>
      <c r="B575" s="193" t="s">
        <v>515</v>
      </c>
      <c r="C575" s="221" t="s">
        <v>68</v>
      </c>
      <c r="D575" s="167" t="s">
        <v>116</v>
      </c>
      <c r="E575" s="28">
        <v>8200</v>
      </c>
      <c r="F575" s="119">
        <f>SUM(G575)</f>
        <v>2</v>
      </c>
      <c r="G575" s="111">
        <v>2</v>
      </c>
    </row>
    <row r="576" spans="1:7" ht="19.5" customHeight="1" thickBot="1" x14ac:dyDescent="0.45"/>
    <row r="577" spans="1:7" ht="19.5" customHeight="1" thickBot="1" x14ac:dyDescent="0.45">
      <c r="A577" s="8">
        <v>69</v>
      </c>
      <c r="B577" s="193" t="s">
        <v>516</v>
      </c>
      <c r="C577" s="221" t="s">
        <v>95</v>
      </c>
      <c r="D577" s="167" t="s">
        <v>116</v>
      </c>
      <c r="E577" s="28">
        <v>9200</v>
      </c>
      <c r="F577" s="119">
        <f>SUM(G577)</f>
        <v>1</v>
      </c>
      <c r="G577" s="111">
        <v>1</v>
      </c>
    </row>
    <row r="578" spans="1:7" ht="19.5" customHeight="1" thickBot="1" x14ac:dyDescent="0.45"/>
    <row r="579" spans="1:7" ht="19.5" customHeight="1" thickBot="1" x14ac:dyDescent="0.45">
      <c r="A579" s="8">
        <v>70</v>
      </c>
      <c r="B579" s="193" t="s">
        <v>517</v>
      </c>
      <c r="C579" s="221" t="s">
        <v>44</v>
      </c>
      <c r="D579" s="167" t="s">
        <v>116</v>
      </c>
      <c r="E579" s="28">
        <v>10180</v>
      </c>
      <c r="F579" s="119">
        <f>SUM(G579)</f>
        <v>2</v>
      </c>
      <c r="G579" s="111">
        <v>2</v>
      </c>
    </row>
    <row r="580" spans="1:7" ht="19.5" customHeight="1" thickBot="1" x14ac:dyDescent="0.45"/>
    <row r="581" spans="1:7" ht="19.5" customHeight="1" thickBot="1" x14ac:dyDescent="0.45">
      <c r="A581" s="8">
        <v>71</v>
      </c>
      <c r="B581" s="193" t="s">
        <v>518</v>
      </c>
      <c r="C581" s="221" t="s">
        <v>108</v>
      </c>
      <c r="D581" s="167" t="s">
        <v>116</v>
      </c>
      <c r="E581" s="28">
        <v>12300</v>
      </c>
      <c r="F581" s="119">
        <f>SUM(G581)</f>
        <v>3</v>
      </c>
      <c r="G581" s="111">
        <v>3</v>
      </c>
    </row>
    <row r="582" spans="1:7" ht="19.5" customHeight="1" thickBot="1" x14ac:dyDescent="0.45"/>
    <row r="583" spans="1:7" ht="19.5" customHeight="1" thickBot="1" x14ac:dyDescent="0.45">
      <c r="A583" s="8">
        <v>72</v>
      </c>
      <c r="B583" s="193" t="s">
        <v>519</v>
      </c>
      <c r="C583" s="221" t="s">
        <v>111</v>
      </c>
      <c r="D583" s="167" t="s">
        <v>116</v>
      </c>
      <c r="E583" s="28">
        <v>13000</v>
      </c>
      <c r="F583" s="119">
        <f>SUM(G583)</f>
        <v>3</v>
      </c>
      <c r="G583" s="111">
        <v>3</v>
      </c>
    </row>
    <row r="584" spans="1:7" ht="19.5" customHeight="1" thickBot="1" x14ac:dyDescent="0.45"/>
    <row r="585" spans="1:7" ht="19.5" customHeight="1" thickBot="1" x14ac:dyDescent="0.45">
      <c r="A585" s="8">
        <v>73</v>
      </c>
      <c r="B585" s="193" t="s">
        <v>520</v>
      </c>
      <c r="C585" s="221" t="s">
        <v>104</v>
      </c>
      <c r="D585" s="167" t="s">
        <v>116</v>
      </c>
      <c r="E585" s="28">
        <v>17450</v>
      </c>
      <c r="F585" s="119">
        <f>SUM(G585)</f>
        <v>2</v>
      </c>
      <c r="G585" s="111">
        <v>2</v>
      </c>
    </row>
    <row r="586" spans="1:7" ht="19.5" customHeight="1" thickBot="1" x14ac:dyDescent="0.45"/>
    <row r="587" spans="1:7" x14ac:dyDescent="0.4">
      <c r="A587" s="8">
        <v>74</v>
      </c>
      <c r="B587" s="181" t="s">
        <v>324</v>
      </c>
      <c r="C587" s="214" t="s">
        <v>118</v>
      </c>
      <c r="D587" s="156" t="s">
        <v>119</v>
      </c>
      <c r="E587" s="13">
        <v>5350</v>
      </c>
      <c r="F587" s="108">
        <f>SUM(G587)</f>
        <v>0</v>
      </c>
      <c r="G587" s="104">
        <v>0</v>
      </c>
    </row>
    <row r="588" spans="1:7" ht="19.5" customHeight="1" thickBot="1" x14ac:dyDescent="0.45">
      <c r="B588" s="183" t="s">
        <v>324</v>
      </c>
      <c r="C588" s="202" t="s">
        <v>118</v>
      </c>
      <c r="D588" s="158" t="s">
        <v>121</v>
      </c>
      <c r="E588" s="17">
        <v>5460</v>
      </c>
      <c r="F588" s="110">
        <f>SUM(G588)</f>
        <v>4</v>
      </c>
      <c r="G588" s="106">
        <v>4</v>
      </c>
    </row>
    <row r="589" spans="1:7" ht="19.5" customHeight="1" thickBot="1" x14ac:dyDescent="0.45"/>
    <row r="590" spans="1:7" x14ac:dyDescent="0.4">
      <c r="A590" s="8">
        <v>75</v>
      </c>
      <c r="B590" s="181" t="s">
        <v>325</v>
      </c>
      <c r="C590" s="214" t="s">
        <v>120</v>
      </c>
      <c r="D590" s="156" t="s">
        <v>119</v>
      </c>
      <c r="E590" s="13">
        <v>5550</v>
      </c>
      <c r="F590" s="108">
        <f>SUM(G590)</f>
        <v>0</v>
      </c>
      <c r="G590" s="104">
        <v>0</v>
      </c>
    </row>
    <row r="591" spans="1:7" ht="19.5" customHeight="1" thickBot="1" x14ac:dyDescent="0.45">
      <c r="B591" s="183" t="s">
        <v>325</v>
      </c>
      <c r="C591" s="202" t="s">
        <v>120</v>
      </c>
      <c r="D591" s="158" t="s">
        <v>121</v>
      </c>
      <c r="E591" s="17">
        <v>5660</v>
      </c>
      <c r="F591" s="110">
        <f>SUM(G591)</f>
        <v>0</v>
      </c>
      <c r="G591" s="106">
        <v>0</v>
      </c>
    </row>
    <row r="592" spans="1:7" ht="19.5" customHeight="1" thickBot="1" x14ac:dyDescent="0.45"/>
    <row r="593" spans="1:7" x14ac:dyDescent="0.4">
      <c r="A593" s="8">
        <v>76</v>
      </c>
      <c r="B593" s="181" t="s">
        <v>326</v>
      </c>
      <c r="C593" s="214" t="s">
        <v>122</v>
      </c>
      <c r="D593" s="156" t="s">
        <v>119</v>
      </c>
      <c r="E593" s="13">
        <v>6080</v>
      </c>
      <c r="F593" s="108">
        <f>SUM(G593)</f>
        <v>0</v>
      </c>
      <c r="G593" s="104">
        <v>0</v>
      </c>
    </row>
    <row r="594" spans="1:7" ht="19.5" customHeight="1" thickBot="1" x14ac:dyDescent="0.45">
      <c r="B594" s="183" t="s">
        <v>326</v>
      </c>
      <c r="C594" s="202" t="s">
        <v>122</v>
      </c>
      <c r="D594" s="158" t="s">
        <v>121</v>
      </c>
      <c r="E594" s="17">
        <v>6290</v>
      </c>
      <c r="F594" s="110">
        <f>SUM(G594)</f>
        <v>1</v>
      </c>
      <c r="G594" s="106">
        <v>1</v>
      </c>
    </row>
    <row r="595" spans="1:7" ht="19.5" customHeight="1" thickBot="1" x14ac:dyDescent="0.45"/>
    <row r="596" spans="1:7" x14ac:dyDescent="0.4">
      <c r="A596" s="8">
        <v>77</v>
      </c>
      <c r="B596" s="181" t="s">
        <v>327</v>
      </c>
      <c r="C596" s="214" t="s">
        <v>68</v>
      </c>
      <c r="D596" s="156" t="s">
        <v>119</v>
      </c>
      <c r="E596" s="13">
        <v>6080</v>
      </c>
      <c r="F596" s="108">
        <f>SUM(G596)</f>
        <v>0</v>
      </c>
      <c r="G596" s="104">
        <v>0</v>
      </c>
    </row>
    <row r="597" spans="1:7" ht="19.5" customHeight="1" thickBot="1" x14ac:dyDescent="0.45">
      <c r="B597" s="183" t="s">
        <v>327</v>
      </c>
      <c r="C597" s="202" t="s">
        <v>68</v>
      </c>
      <c r="D597" s="158" t="s">
        <v>121</v>
      </c>
      <c r="E597" s="17">
        <v>6190</v>
      </c>
      <c r="F597" s="110">
        <f>SUM(G597)</f>
        <v>0</v>
      </c>
      <c r="G597" s="106">
        <v>0</v>
      </c>
    </row>
    <row r="598" spans="1:7" ht="19.5" customHeight="1" thickBot="1" x14ac:dyDescent="0.45"/>
    <row r="599" spans="1:7" x14ac:dyDescent="0.4">
      <c r="A599" s="8">
        <v>78</v>
      </c>
      <c r="B599" s="181" t="s">
        <v>328</v>
      </c>
      <c r="C599" s="214" t="s">
        <v>75</v>
      </c>
      <c r="D599" s="156" t="s">
        <v>119</v>
      </c>
      <c r="E599" s="13">
        <v>6180</v>
      </c>
      <c r="F599" s="108">
        <f>SUM(G599)</f>
        <v>0</v>
      </c>
      <c r="G599" s="104">
        <v>0</v>
      </c>
    </row>
    <row r="600" spans="1:7" ht="19.5" customHeight="1" thickBot="1" x14ac:dyDescent="0.45">
      <c r="B600" s="183" t="s">
        <v>328</v>
      </c>
      <c r="C600" s="202" t="s">
        <v>75</v>
      </c>
      <c r="D600" s="158" t="s">
        <v>121</v>
      </c>
      <c r="E600" s="17">
        <v>6500</v>
      </c>
      <c r="F600" s="110">
        <f>SUM(G600)</f>
        <v>0</v>
      </c>
      <c r="G600" s="106">
        <v>0</v>
      </c>
    </row>
    <row r="601" spans="1:7" ht="19.5" customHeight="1" thickBot="1" x14ac:dyDescent="0.45"/>
    <row r="602" spans="1:7" x14ac:dyDescent="0.4">
      <c r="A602" s="8">
        <v>79</v>
      </c>
      <c r="B602" s="181" t="s">
        <v>329</v>
      </c>
      <c r="C602" s="214" t="s">
        <v>123</v>
      </c>
      <c r="D602" s="156" t="s">
        <v>119</v>
      </c>
      <c r="E602" s="13">
        <v>6180</v>
      </c>
      <c r="F602" s="108">
        <f>SUM(G602)</f>
        <v>0</v>
      </c>
      <c r="G602" s="104">
        <v>0</v>
      </c>
    </row>
    <row r="603" spans="1:7" ht="19.5" customHeight="1" thickBot="1" x14ac:dyDescent="0.45">
      <c r="B603" s="183" t="s">
        <v>329</v>
      </c>
      <c r="C603" s="202" t="s">
        <v>123</v>
      </c>
      <c r="D603" s="158" t="s">
        <v>121</v>
      </c>
      <c r="E603" s="17">
        <v>6400</v>
      </c>
      <c r="F603" s="110">
        <f>SUM(G603)</f>
        <v>0</v>
      </c>
      <c r="G603" s="106">
        <v>0</v>
      </c>
    </row>
    <row r="604" spans="1:7" ht="19.5" customHeight="1" thickBot="1" x14ac:dyDescent="0.45"/>
    <row r="605" spans="1:7" x14ac:dyDescent="0.4">
      <c r="A605" s="8">
        <v>80</v>
      </c>
      <c r="B605" s="181" t="s">
        <v>330</v>
      </c>
      <c r="C605" s="214" t="s">
        <v>95</v>
      </c>
      <c r="D605" s="156" t="s">
        <v>119</v>
      </c>
      <c r="E605" s="13">
        <v>6920</v>
      </c>
      <c r="F605" s="108">
        <f>SUM(G605)</f>
        <v>0</v>
      </c>
      <c r="G605" s="104">
        <v>0</v>
      </c>
    </row>
    <row r="606" spans="1:7" ht="19.5" customHeight="1" thickBot="1" x14ac:dyDescent="0.45">
      <c r="B606" s="183" t="s">
        <v>330</v>
      </c>
      <c r="C606" s="202" t="s">
        <v>95</v>
      </c>
      <c r="D606" s="158" t="s">
        <v>121</v>
      </c>
      <c r="E606" s="17">
        <v>7030</v>
      </c>
      <c r="F606" s="110">
        <f>SUM(G606)</f>
        <v>2</v>
      </c>
      <c r="G606" s="106">
        <v>2</v>
      </c>
    </row>
    <row r="607" spans="1:7" ht="19.5" customHeight="1" thickBot="1" x14ac:dyDescent="0.45"/>
    <row r="608" spans="1:7" x14ac:dyDescent="0.4">
      <c r="A608" s="8">
        <v>81</v>
      </c>
      <c r="B608" s="181" t="s">
        <v>331</v>
      </c>
      <c r="C608" s="214" t="s">
        <v>44</v>
      </c>
      <c r="D608" s="156" t="s">
        <v>119</v>
      </c>
      <c r="E608" s="13">
        <v>7240</v>
      </c>
      <c r="F608" s="108">
        <f>SUM(G608)</f>
        <v>0</v>
      </c>
      <c r="G608" s="104">
        <v>0</v>
      </c>
    </row>
    <row r="609" spans="1:7" ht="19.5" customHeight="1" thickBot="1" x14ac:dyDescent="0.45">
      <c r="B609" s="183" t="s">
        <v>331</v>
      </c>
      <c r="C609" s="202" t="s">
        <v>44</v>
      </c>
      <c r="D609" s="158" t="s">
        <v>121</v>
      </c>
      <c r="E609" s="17">
        <v>7450</v>
      </c>
      <c r="F609" s="110">
        <f>SUM(G609)</f>
        <v>6</v>
      </c>
      <c r="G609" s="106">
        <v>6</v>
      </c>
    </row>
    <row r="610" spans="1:7" ht="19.5" customHeight="1" thickBot="1" x14ac:dyDescent="0.45"/>
    <row r="611" spans="1:7" x14ac:dyDescent="0.4">
      <c r="A611" s="8">
        <v>82</v>
      </c>
      <c r="B611" s="181" t="s">
        <v>332</v>
      </c>
      <c r="C611" s="214" t="s">
        <v>124</v>
      </c>
      <c r="D611" s="156" t="s">
        <v>119</v>
      </c>
      <c r="E611" s="13">
        <v>7870</v>
      </c>
      <c r="F611" s="108">
        <f>SUM(G611)</f>
        <v>0</v>
      </c>
      <c r="G611" s="104">
        <v>0</v>
      </c>
    </row>
    <row r="612" spans="1:7" ht="19.5" customHeight="1" thickBot="1" x14ac:dyDescent="0.45">
      <c r="B612" s="183" t="s">
        <v>332</v>
      </c>
      <c r="C612" s="202" t="s">
        <v>124</v>
      </c>
      <c r="D612" s="158" t="s">
        <v>121</v>
      </c>
      <c r="E612" s="17">
        <v>8080</v>
      </c>
      <c r="F612" s="110">
        <f>SUM(G612)</f>
        <v>0</v>
      </c>
      <c r="G612" s="106">
        <v>0</v>
      </c>
    </row>
    <row r="613" spans="1:7" ht="19.5" customHeight="1" thickBot="1" x14ac:dyDescent="0.45"/>
    <row r="614" spans="1:7" x14ac:dyDescent="0.4">
      <c r="A614" s="8">
        <v>83</v>
      </c>
      <c r="B614" s="181" t="s">
        <v>333</v>
      </c>
      <c r="C614" s="214" t="s">
        <v>107</v>
      </c>
      <c r="D614" s="156" t="s">
        <v>119</v>
      </c>
      <c r="E614" s="13">
        <v>8180</v>
      </c>
      <c r="F614" s="108">
        <f>SUM(G614)</f>
        <v>0</v>
      </c>
      <c r="G614" s="104">
        <v>0</v>
      </c>
    </row>
    <row r="615" spans="1:7" ht="19.5" customHeight="1" thickBot="1" x14ac:dyDescent="0.45">
      <c r="B615" s="183" t="s">
        <v>333</v>
      </c>
      <c r="C615" s="202" t="s">
        <v>107</v>
      </c>
      <c r="D615" s="158" t="s">
        <v>121</v>
      </c>
      <c r="E615" s="17">
        <v>8290</v>
      </c>
      <c r="F615" s="110">
        <f>SUM(G615)</f>
        <v>2</v>
      </c>
      <c r="G615" s="106">
        <v>2</v>
      </c>
    </row>
    <row r="616" spans="1:7" ht="19.5" customHeight="1" thickBot="1" x14ac:dyDescent="0.45"/>
    <row r="617" spans="1:7" x14ac:dyDescent="0.4">
      <c r="A617" s="8">
        <v>84</v>
      </c>
      <c r="B617" s="181" t="s">
        <v>334</v>
      </c>
      <c r="C617" s="214" t="s">
        <v>125</v>
      </c>
      <c r="D617" s="156" t="s">
        <v>119</v>
      </c>
      <c r="E617" s="13">
        <v>8400</v>
      </c>
      <c r="F617" s="108">
        <f>SUM(G617)</f>
        <v>0</v>
      </c>
      <c r="G617" s="104">
        <v>0</v>
      </c>
    </row>
    <row r="618" spans="1:7" ht="19.5" customHeight="1" thickBot="1" x14ac:dyDescent="0.45">
      <c r="B618" s="183" t="s">
        <v>334</v>
      </c>
      <c r="C618" s="202" t="s">
        <v>125</v>
      </c>
      <c r="D618" s="158" t="s">
        <v>121</v>
      </c>
      <c r="E618" s="17">
        <v>8600</v>
      </c>
      <c r="F618" s="110">
        <f>SUM(G618)</f>
        <v>3</v>
      </c>
      <c r="G618" s="106">
        <v>3</v>
      </c>
    </row>
    <row r="619" spans="1:7" ht="19.5" customHeight="1" thickBot="1" x14ac:dyDescent="0.45"/>
    <row r="620" spans="1:7" x14ac:dyDescent="0.4">
      <c r="A620" s="8">
        <v>85</v>
      </c>
      <c r="B620" s="181" t="s">
        <v>335</v>
      </c>
      <c r="C620" s="214" t="s">
        <v>126</v>
      </c>
      <c r="D620" s="156" t="s">
        <v>119</v>
      </c>
      <c r="E620" s="13">
        <v>7720</v>
      </c>
      <c r="F620" s="108">
        <f>SUM(G620)</f>
        <v>0</v>
      </c>
      <c r="G620" s="104">
        <v>0</v>
      </c>
    </row>
    <row r="621" spans="1:7" ht="19.5" customHeight="1" thickBot="1" x14ac:dyDescent="0.45">
      <c r="B621" s="183" t="s">
        <v>335</v>
      </c>
      <c r="C621" s="202" t="s">
        <v>126</v>
      </c>
      <c r="D621" s="158" t="s">
        <v>121</v>
      </c>
      <c r="E621" s="17">
        <v>7980</v>
      </c>
      <c r="F621" s="110">
        <f>SUM(G621)</f>
        <v>0</v>
      </c>
      <c r="G621" s="106">
        <v>0</v>
      </c>
    </row>
    <row r="622" spans="1:7" ht="19.5" customHeight="1" thickBot="1" x14ac:dyDescent="0.45"/>
    <row r="623" spans="1:7" x14ac:dyDescent="0.4">
      <c r="A623" s="8">
        <v>86</v>
      </c>
      <c r="B623" s="181" t="s">
        <v>336</v>
      </c>
      <c r="C623" s="214" t="s">
        <v>127</v>
      </c>
      <c r="D623" s="156" t="s">
        <v>119</v>
      </c>
      <c r="E623" s="13">
        <v>8440</v>
      </c>
      <c r="F623" s="108">
        <f>SUM(G623)</f>
        <v>0</v>
      </c>
      <c r="G623" s="104">
        <v>0</v>
      </c>
    </row>
    <row r="624" spans="1:7" ht="19.5" customHeight="1" thickBot="1" x14ac:dyDescent="0.45">
      <c r="B624" s="183" t="s">
        <v>336</v>
      </c>
      <c r="C624" s="202" t="s">
        <v>127</v>
      </c>
      <c r="D624" s="158" t="s">
        <v>121</v>
      </c>
      <c r="E624" s="17">
        <v>8760</v>
      </c>
      <c r="F624" s="110">
        <f>SUM(G624)</f>
        <v>0</v>
      </c>
      <c r="G624" s="106">
        <v>0</v>
      </c>
    </row>
    <row r="625" spans="1:7" ht="19.5" customHeight="1" thickBot="1" x14ac:dyDescent="0.45"/>
    <row r="626" spans="1:7" x14ac:dyDescent="0.4">
      <c r="A626" s="8">
        <v>87</v>
      </c>
      <c r="B626" s="181" t="s">
        <v>337</v>
      </c>
      <c r="C626" s="214" t="s">
        <v>110</v>
      </c>
      <c r="D626" s="156" t="s">
        <v>119</v>
      </c>
      <c r="E626" s="13">
        <v>9660</v>
      </c>
      <c r="F626" s="108">
        <f>SUM(G626)</f>
        <v>0</v>
      </c>
      <c r="G626" s="104">
        <v>0</v>
      </c>
    </row>
    <row r="627" spans="1:7" ht="19.5" customHeight="1" thickBot="1" x14ac:dyDescent="0.45">
      <c r="B627" s="183" t="s">
        <v>337</v>
      </c>
      <c r="C627" s="202" t="s">
        <v>110</v>
      </c>
      <c r="D627" s="158" t="s">
        <v>121</v>
      </c>
      <c r="E627" s="17">
        <v>10050</v>
      </c>
      <c r="F627" s="110">
        <f>SUM(G627)</f>
        <v>2</v>
      </c>
      <c r="G627" s="106">
        <v>2</v>
      </c>
    </row>
    <row r="628" spans="1:7" ht="19.5" customHeight="1" thickBot="1" x14ac:dyDescent="0.45"/>
    <row r="629" spans="1:7" x14ac:dyDescent="0.4">
      <c r="A629" s="8">
        <v>88</v>
      </c>
      <c r="B629" s="181" t="s">
        <v>338</v>
      </c>
      <c r="C629" s="214" t="s">
        <v>108</v>
      </c>
      <c r="D629" s="156" t="s">
        <v>119</v>
      </c>
      <c r="E629" s="13">
        <v>9070</v>
      </c>
      <c r="F629" s="108">
        <f>SUM(G629)</f>
        <v>0</v>
      </c>
      <c r="G629" s="104">
        <v>0</v>
      </c>
    </row>
    <row r="630" spans="1:7" ht="19.5" customHeight="1" thickBot="1" x14ac:dyDescent="0.45">
      <c r="B630" s="183" t="s">
        <v>338</v>
      </c>
      <c r="C630" s="202" t="s">
        <v>108</v>
      </c>
      <c r="D630" s="158" t="s">
        <v>121</v>
      </c>
      <c r="E630" s="17">
        <v>9490</v>
      </c>
      <c r="F630" s="110">
        <f>SUM(G630)</f>
        <v>1</v>
      </c>
      <c r="G630" s="106">
        <v>1</v>
      </c>
    </row>
    <row r="631" spans="1:7" ht="19.5" customHeight="1" thickBot="1" x14ac:dyDescent="0.45"/>
    <row r="632" spans="1:7" x14ac:dyDescent="0.4">
      <c r="A632" s="8">
        <v>89</v>
      </c>
      <c r="B632" s="181" t="s">
        <v>339</v>
      </c>
      <c r="C632" s="214" t="s">
        <v>98</v>
      </c>
      <c r="D632" s="156" t="s">
        <v>119</v>
      </c>
      <c r="E632" s="13">
        <v>10080</v>
      </c>
      <c r="F632" s="108">
        <f>SUM(G632)</f>
        <v>0</v>
      </c>
      <c r="G632" s="104">
        <v>0</v>
      </c>
    </row>
    <row r="633" spans="1:7" ht="19.5" customHeight="1" thickBot="1" x14ac:dyDescent="0.45">
      <c r="B633" s="183" t="s">
        <v>339</v>
      </c>
      <c r="C633" s="202" t="s">
        <v>98</v>
      </c>
      <c r="D633" s="158" t="s">
        <v>121</v>
      </c>
      <c r="E633" s="17">
        <v>10490</v>
      </c>
      <c r="F633" s="110">
        <f>SUM(G633)</f>
        <v>3</v>
      </c>
      <c r="G633" s="106">
        <v>3</v>
      </c>
    </row>
    <row r="634" spans="1:7" ht="19.5" customHeight="1" thickBot="1" x14ac:dyDescent="0.45"/>
    <row r="635" spans="1:7" x14ac:dyDescent="0.4">
      <c r="A635" s="8">
        <v>90</v>
      </c>
      <c r="B635" s="181" t="s">
        <v>340</v>
      </c>
      <c r="C635" s="214" t="s">
        <v>128</v>
      </c>
      <c r="D635" s="156" t="s">
        <v>119</v>
      </c>
      <c r="E635" s="13">
        <v>10290</v>
      </c>
      <c r="F635" s="108">
        <f>SUM(G635)</f>
        <v>0</v>
      </c>
      <c r="G635" s="104">
        <v>0</v>
      </c>
    </row>
    <row r="636" spans="1:7" ht="19.5" customHeight="1" thickBot="1" x14ac:dyDescent="0.45">
      <c r="B636" s="183" t="s">
        <v>340</v>
      </c>
      <c r="C636" s="202" t="s">
        <v>128</v>
      </c>
      <c r="D636" s="158" t="s">
        <v>121</v>
      </c>
      <c r="E636" s="17">
        <v>10490</v>
      </c>
      <c r="F636" s="110">
        <f>SUM(G636)</f>
        <v>0</v>
      </c>
      <c r="G636" s="106">
        <v>0</v>
      </c>
    </row>
    <row r="637" spans="1:7" ht="19.5" customHeight="1" thickBot="1" x14ac:dyDescent="0.45"/>
    <row r="638" spans="1:7" x14ac:dyDescent="0.4">
      <c r="A638" s="8">
        <v>91</v>
      </c>
      <c r="B638" s="181" t="s">
        <v>341</v>
      </c>
      <c r="C638" s="214" t="s">
        <v>82</v>
      </c>
      <c r="D638" s="156" t="s">
        <v>119</v>
      </c>
      <c r="E638" s="13">
        <v>11440</v>
      </c>
      <c r="F638" s="108">
        <f>SUM(G638)</f>
        <v>0</v>
      </c>
      <c r="G638" s="104">
        <v>0</v>
      </c>
    </row>
    <row r="639" spans="1:7" ht="19.5" customHeight="1" thickBot="1" x14ac:dyDescent="0.45">
      <c r="B639" s="183" t="s">
        <v>341</v>
      </c>
      <c r="C639" s="202" t="s">
        <v>82</v>
      </c>
      <c r="D639" s="158" t="s">
        <v>121</v>
      </c>
      <c r="E639" s="17">
        <v>11590</v>
      </c>
      <c r="F639" s="110">
        <f>SUM(G639)</f>
        <v>0</v>
      </c>
      <c r="G639" s="106">
        <v>0</v>
      </c>
    </row>
    <row r="640" spans="1:7" ht="19.5" customHeight="1" thickBot="1" x14ac:dyDescent="0.45"/>
    <row r="641" spans="1:7" x14ac:dyDescent="0.4">
      <c r="A641" s="8">
        <v>92</v>
      </c>
      <c r="B641" s="192" t="s">
        <v>535</v>
      </c>
      <c r="C641" s="214" t="s">
        <v>111</v>
      </c>
      <c r="D641" s="156" t="s">
        <v>119</v>
      </c>
      <c r="E641" s="13">
        <v>10950</v>
      </c>
      <c r="F641" s="108">
        <f>SUM(G641)</f>
        <v>0</v>
      </c>
      <c r="G641" s="104">
        <v>0</v>
      </c>
    </row>
    <row r="642" spans="1:7" ht="19.5" customHeight="1" thickBot="1" x14ac:dyDescent="0.45">
      <c r="B642" s="183" t="s">
        <v>535</v>
      </c>
      <c r="C642" s="202" t="s">
        <v>111</v>
      </c>
      <c r="D642" s="158" t="s">
        <v>121</v>
      </c>
      <c r="E642" s="17">
        <v>11150</v>
      </c>
      <c r="F642" s="110">
        <f>SUM(G642)</f>
        <v>1</v>
      </c>
      <c r="G642" s="106">
        <v>1</v>
      </c>
    </row>
    <row r="643" spans="1:7" ht="19.5" customHeight="1" thickBot="1" x14ac:dyDescent="0.45"/>
    <row r="644" spans="1:7" s="150" customFormat="1" ht="26.25" customHeight="1" x14ac:dyDescent="0.4">
      <c r="A644" s="146">
        <v>93</v>
      </c>
      <c r="B644" s="192" t="s">
        <v>368</v>
      </c>
      <c r="C644" s="220" t="s">
        <v>129</v>
      </c>
      <c r="D644" s="177" t="s">
        <v>119</v>
      </c>
      <c r="E644" s="151">
        <v>12200</v>
      </c>
      <c r="F644" s="152">
        <f>SUM(G644)</f>
        <v>0</v>
      </c>
      <c r="G644" s="153">
        <v>0</v>
      </c>
    </row>
    <row r="645" spans="1:7" ht="19.5" customHeight="1" thickBot="1" x14ac:dyDescent="0.45">
      <c r="B645" s="183" t="s">
        <v>368</v>
      </c>
      <c r="C645" s="202" t="s">
        <v>129</v>
      </c>
      <c r="D645" s="158" t="s">
        <v>121</v>
      </c>
      <c r="E645" s="17">
        <v>12500</v>
      </c>
      <c r="F645" s="110">
        <f>SUM(G645)</f>
        <v>0</v>
      </c>
      <c r="G645" s="106">
        <v>0</v>
      </c>
    </row>
    <row r="646" spans="1:7" ht="19.5" customHeight="1" thickBot="1" x14ac:dyDescent="0.45"/>
    <row r="647" spans="1:7" s="150" customFormat="1" ht="33" customHeight="1" x14ac:dyDescent="0.4">
      <c r="A647" s="146">
        <v>94</v>
      </c>
      <c r="B647" s="192" t="s">
        <v>409</v>
      </c>
      <c r="C647" s="220" t="s">
        <v>130</v>
      </c>
      <c r="D647" s="177" t="s">
        <v>119</v>
      </c>
      <c r="E647" s="151">
        <v>11850</v>
      </c>
      <c r="F647" s="152">
        <f>SUM(G647)</f>
        <v>0</v>
      </c>
      <c r="G647" s="153">
        <v>0</v>
      </c>
    </row>
    <row r="648" spans="1:7" ht="19.5" customHeight="1" thickBot="1" x14ac:dyDescent="0.45">
      <c r="B648" s="183" t="s">
        <v>409</v>
      </c>
      <c r="C648" s="202" t="s">
        <v>130</v>
      </c>
      <c r="D648" s="158" t="s">
        <v>121</v>
      </c>
      <c r="E648" s="17">
        <v>12070</v>
      </c>
      <c r="F648" s="110">
        <f>SUM(G648)</f>
        <v>0</v>
      </c>
      <c r="G648" s="106">
        <v>0</v>
      </c>
    </row>
    <row r="649" spans="1:7" ht="19.5" customHeight="1" thickBot="1" x14ac:dyDescent="0.45"/>
    <row r="650" spans="1:7" ht="32.25" customHeight="1" x14ac:dyDescent="0.4">
      <c r="A650" s="8">
        <v>95</v>
      </c>
      <c r="B650" s="192" t="s">
        <v>408</v>
      </c>
      <c r="C650" s="214" t="s">
        <v>111</v>
      </c>
      <c r="D650" s="156" t="s">
        <v>119</v>
      </c>
      <c r="E650" s="13">
        <v>12300</v>
      </c>
      <c r="F650" s="108">
        <f>SUM(G650)</f>
        <v>0</v>
      </c>
      <c r="G650" s="104">
        <v>0</v>
      </c>
    </row>
    <row r="651" spans="1:7" ht="23.25" customHeight="1" thickBot="1" x14ac:dyDescent="0.45">
      <c r="B651" s="183" t="s">
        <v>408</v>
      </c>
      <c r="C651" s="202" t="s">
        <v>111</v>
      </c>
      <c r="D651" s="158" t="s">
        <v>121</v>
      </c>
      <c r="E651" s="17">
        <v>12500</v>
      </c>
      <c r="F651" s="110">
        <f>SUM(G651)</f>
        <v>0</v>
      </c>
      <c r="G651" s="106">
        <v>0</v>
      </c>
    </row>
    <row r="652" spans="1:7" ht="19.5" customHeight="1" thickBot="1" x14ac:dyDescent="0.45"/>
    <row r="653" spans="1:7" ht="32.25" customHeight="1" x14ac:dyDescent="0.4">
      <c r="A653" s="8">
        <v>96</v>
      </c>
      <c r="B653" s="192" t="s">
        <v>407</v>
      </c>
      <c r="C653" s="214" t="s">
        <v>77</v>
      </c>
      <c r="D653" s="156" t="s">
        <v>119</v>
      </c>
      <c r="E653" s="13">
        <v>14700</v>
      </c>
      <c r="F653" s="108">
        <f>SUM(G653)</f>
        <v>0</v>
      </c>
      <c r="G653" s="104">
        <v>0</v>
      </c>
    </row>
    <row r="654" spans="1:7" ht="19.5" customHeight="1" thickBot="1" x14ac:dyDescent="0.45">
      <c r="B654" s="183" t="s">
        <v>407</v>
      </c>
      <c r="C654" s="202" t="s">
        <v>77</v>
      </c>
      <c r="D654" s="158" t="s">
        <v>121</v>
      </c>
      <c r="E654" s="17">
        <v>15000</v>
      </c>
      <c r="F654" s="110">
        <f>SUM(G654)</f>
        <v>0</v>
      </c>
      <c r="G654" s="106">
        <v>0</v>
      </c>
    </row>
    <row r="655" spans="1:7" ht="19.5" customHeight="1" thickBot="1" x14ac:dyDescent="0.45"/>
    <row r="656" spans="1:7" s="150" customFormat="1" ht="26.25" customHeight="1" thickBot="1" x14ac:dyDescent="0.45">
      <c r="A656" s="146">
        <v>97</v>
      </c>
      <c r="B656" s="194" t="s">
        <v>365</v>
      </c>
      <c r="C656" s="222" t="s">
        <v>283</v>
      </c>
      <c r="D656" s="171" t="s">
        <v>89</v>
      </c>
      <c r="E656" s="147">
        <v>31200</v>
      </c>
      <c r="F656" s="148">
        <f>SUM(G656)</f>
        <v>1</v>
      </c>
      <c r="G656" s="149">
        <v>1</v>
      </c>
    </row>
    <row r="657" spans="1:7" ht="19.5" customHeight="1" thickBot="1" x14ac:dyDescent="0.45"/>
    <row r="658" spans="1:7" ht="21.75" customHeight="1" x14ac:dyDescent="0.4">
      <c r="A658" s="8">
        <v>98</v>
      </c>
      <c r="B658" s="195" t="s">
        <v>366</v>
      </c>
      <c r="C658" s="216" t="s">
        <v>77</v>
      </c>
      <c r="D658" s="156" t="s">
        <v>94</v>
      </c>
      <c r="E658" s="13">
        <v>18850</v>
      </c>
      <c r="F658" s="108">
        <f>SUM(G658)</f>
        <v>1</v>
      </c>
      <c r="G658" s="104">
        <v>1</v>
      </c>
    </row>
    <row r="659" spans="1:7" ht="23.25" customHeight="1" thickBot="1" x14ac:dyDescent="0.45">
      <c r="A659" s="8">
        <v>99</v>
      </c>
      <c r="B659" s="196" t="s">
        <v>367</v>
      </c>
      <c r="C659" s="223" t="s">
        <v>77</v>
      </c>
      <c r="D659" s="158" t="s">
        <v>94</v>
      </c>
      <c r="E659" s="17">
        <v>18850</v>
      </c>
      <c r="F659" s="110">
        <f>SUM(G659)</f>
        <v>0</v>
      </c>
      <c r="G659" s="106">
        <v>0</v>
      </c>
    </row>
    <row r="660" spans="1:7" ht="19.5" customHeight="1" thickBot="1" x14ac:dyDescent="0.45"/>
    <row r="661" spans="1:7" s="150" customFormat="1" ht="26.25" customHeight="1" x14ac:dyDescent="0.4">
      <c r="A661" s="146">
        <v>100</v>
      </c>
      <c r="B661" s="192" t="s">
        <v>549</v>
      </c>
      <c r="C661" s="220" t="s">
        <v>65</v>
      </c>
      <c r="D661" s="177" t="s">
        <v>224</v>
      </c>
      <c r="E661" s="151">
        <v>12390</v>
      </c>
      <c r="F661" s="152">
        <f>SUM(G661)</f>
        <v>0</v>
      </c>
      <c r="G661" s="153">
        <v>0</v>
      </c>
    </row>
    <row r="662" spans="1:7" x14ac:dyDescent="0.4">
      <c r="B662" s="182" t="s">
        <v>549</v>
      </c>
      <c r="C662" s="201" t="s">
        <v>65</v>
      </c>
      <c r="D662" s="165" t="s">
        <v>248</v>
      </c>
      <c r="E662" s="11">
        <v>12390</v>
      </c>
      <c r="F662" s="113">
        <f>SUM(G662)</f>
        <v>0</v>
      </c>
      <c r="G662" s="132">
        <v>0</v>
      </c>
    </row>
    <row r="663" spans="1:7" ht="19.5" customHeight="1" thickBot="1" x14ac:dyDescent="0.45">
      <c r="B663" s="183" t="s">
        <v>549</v>
      </c>
      <c r="C663" s="202" t="s">
        <v>65</v>
      </c>
      <c r="D663" s="178" t="s">
        <v>66</v>
      </c>
      <c r="E663" s="55">
        <v>12390</v>
      </c>
      <c r="F663" s="134">
        <f>SUM(G663)</f>
        <v>0</v>
      </c>
      <c r="G663" s="112">
        <v>0</v>
      </c>
    </row>
    <row r="664" spans="1:7" ht="19.5" customHeight="1" thickBot="1" x14ac:dyDescent="0.45"/>
    <row r="665" spans="1:7" s="150" customFormat="1" ht="22.5" customHeight="1" x14ac:dyDescent="0.4">
      <c r="A665" s="146">
        <v>101</v>
      </c>
      <c r="B665" s="192" t="s">
        <v>550</v>
      </c>
      <c r="C665" s="220" t="s">
        <v>68</v>
      </c>
      <c r="D665" s="177" t="s">
        <v>224</v>
      </c>
      <c r="E665" s="151">
        <v>15690</v>
      </c>
      <c r="F665" s="152">
        <f>SUM(G665)</f>
        <v>0</v>
      </c>
      <c r="G665" s="153">
        <v>0</v>
      </c>
    </row>
    <row r="666" spans="1:7" x14ac:dyDescent="0.4">
      <c r="B666" s="182" t="s">
        <v>550</v>
      </c>
      <c r="C666" s="201" t="s">
        <v>68</v>
      </c>
      <c r="D666" s="165" t="s">
        <v>248</v>
      </c>
      <c r="E666" s="11">
        <v>15690</v>
      </c>
      <c r="F666" s="113">
        <f>SUM(G666)</f>
        <v>0</v>
      </c>
      <c r="G666" s="132">
        <v>0</v>
      </c>
    </row>
    <row r="667" spans="1:7" ht="19.5" customHeight="1" thickBot="1" x14ac:dyDescent="0.45">
      <c r="B667" s="183" t="s">
        <v>550</v>
      </c>
      <c r="C667" s="202" t="s">
        <v>68</v>
      </c>
      <c r="D667" s="178" t="s">
        <v>66</v>
      </c>
      <c r="E667" s="55">
        <v>15690</v>
      </c>
      <c r="F667" s="134">
        <f>SUM(G667)</f>
        <v>0</v>
      </c>
      <c r="G667" s="112">
        <v>0</v>
      </c>
    </row>
    <row r="668" spans="1:7" ht="19.5" customHeight="1" thickBot="1" x14ac:dyDescent="0.45"/>
    <row r="669" spans="1:7" s="150" customFormat="1" ht="23.25" customHeight="1" x14ac:dyDescent="0.4">
      <c r="A669" s="146">
        <v>102</v>
      </c>
      <c r="B669" s="192" t="s">
        <v>551</v>
      </c>
      <c r="C669" s="220" t="s">
        <v>95</v>
      </c>
      <c r="D669" s="177" t="s">
        <v>224</v>
      </c>
      <c r="E669" s="151">
        <v>16790</v>
      </c>
      <c r="F669" s="152">
        <f>SUM(G669)</f>
        <v>0</v>
      </c>
      <c r="G669" s="153">
        <v>0</v>
      </c>
    </row>
    <row r="670" spans="1:7" x14ac:dyDescent="0.4">
      <c r="B670" s="182" t="s">
        <v>551</v>
      </c>
      <c r="C670" s="201" t="s">
        <v>95</v>
      </c>
      <c r="D670" s="165" t="s">
        <v>248</v>
      </c>
      <c r="E670" s="11">
        <v>16790</v>
      </c>
      <c r="F670" s="113">
        <f>SUM(G670)</f>
        <v>0</v>
      </c>
      <c r="G670" s="132">
        <v>0</v>
      </c>
    </row>
    <row r="671" spans="1:7" ht="19.5" customHeight="1" thickBot="1" x14ac:dyDescent="0.45">
      <c r="B671" s="183" t="s">
        <v>551</v>
      </c>
      <c r="C671" s="202" t="s">
        <v>95</v>
      </c>
      <c r="D671" s="178" t="s">
        <v>66</v>
      </c>
      <c r="E671" s="55">
        <v>16790</v>
      </c>
      <c r="F671" s="134">
        <f>SUM(G671)</f>
        <v>1</v>
      </c>
      <c r="G671" s="112">
        <v>1</v>
      </c>
    </row>
    <row r="672" spans="1:7" ht="19.5" customHeight="1" thickBot="1" x14ac:dyDescent="0.45"/>
    <row r="673" spans="1:7" s="150" customFormat="1" ht="22.5" customHeight="1" x14ac:dyDescent="0.4">
      <c r="A673" s="146">
        <v>103</v>
      </c>
      <c r="B673" s="192" t="s">
        <v>552</v>
      </c>
      <c r="C673" s="220" t="s">
        <v>553</v>
      </c>
      <c r="D673" s="177" t="s">
        <v>224</v>
      </c>
      <c r="E673" s="151">
        <v>17000</v>
      </c>
      <c r="F673" s="152">
        <f>SUM(G673)</f>
        <v>0</v>
      </c>
      <c r="G673" s="153">
        <v>0</v>
      </c>
    </row>
    <row r="674" spans="1:7" x14ac:dyDescent="0.4">
      <c r="B674" s="182" t="s">
        <v>552</v>
      </c>
      <c r="C674" s="201" t="s">
        <v>553</v>
      </c>
      <c r="D674" s="165" t="s">
        <v>248</v>
      </c>
      <c r="E674" s="11">
        <v>17500</v>
      </c>
      <c r="F674" s="113">
        <f>SUM(G674)</f>
        <v>0</v>
      </c>
      <c r="G674" s="132">
        <v>0</v>
      </c>
    </row>
    <row r="675" spans="1:7" ht="19.5" customHeight="1" thickBot="1" x14ac:dyDescent="0.45">
      <c r="B675" s="183" t="s">
        <v>552</v>
      </c>
      <c r="C675" s="202" t="s">
        <v>553</v>
      </c>
      <c r="D675" s="178" t="s">
        <v>66</v>
      </c>
      <c r="E675" s="55">
        <v>18590</v>
      </c>
      <c r="F675" s="134">
        <f>SUM(G675)</f>
        <v>1</v>
      </c>
      <c r="G675" s="112">
        <v>1</v>
      </c>
    </row>
    <row r="676" spans="1:7" ht="19.5" customHeight="1" thickBot="1" x14ac:dyDescent="0.45"/>
    <row r="677" spans="1:7" s="150" customFormat="1" ht="27.75" customHeight="1" x14ac:dyDescent="0.4">
      <c r="A677" s="146">
        <v>104</v>
      </c>
      <c r="B677" s="192" t="s">
        <v>554</v>
      </c>
      <c r="C677" s="220" t="s">
        <v>97</v>
      </c>
      <c r="D677" s="177" t="s">
        <v>224</v>
      </c>
      <c r="E677" s="151">
        <v>23090</v>
      </c>
      <c r="F677" s="152">
        <f>SUM(G677)</f>
        <v>0</v>
      </c>
      <c r="G677" s="153">
        <v>0</v>
      </c>
    </row>
    <row r="678" spans="1:7" x14ac:dyDescent="0.4">
      <c r="B678" s="182" t="s">
        <v>554</v>
      </c>
      <c r="C678" s="201" t="s">
        <v>97</v>
      </c>
      <c r="D678" s="165" t="s">
        <v>248</v>
      </c>
      <c r="E678" s="11">
        <v>23090</v>
      </c>
      <c r="F678" s="113">
        <f>SUM(G678)</f>
        <v>0</v>
      </c>
      <c r="G678" s="132">
        <v>0</v>
      </c>
    </row>
    <row r="679" spans="1:7" ht="19.5" customHeight="1" thickBot="1" x14ac:dyDescent="0.45">
      <c r="B679" s="183" t="s">
        <v>554</v>
      </c>
      <c r="C679" s="202" t="s">
        <v>97</v>
      </c>
      <c r="D679" s="178" t="s">
        <v>66</v>
      </c>
      <c r="E679" s="55">
        <v>23090</v>
      </c>
      <c r="F679" s="134">
        <f>SUM(G679)</f>
        <v>0</v>
      </c>
      <c r="G679" s="112">
        <v>0</v>
      </c>
    </row>
    <row r="680" spans="1:7" ht="19.5" customHeight="1" thickBot="1" x14ac:dyDescent="0.45"/>
    <row r="681" spans="1:7" s="150" customFormat="1" ht="25.5" customHeight="1" x14ac:dyDescent="0.4">
      <c r="A681" s="146">
        <v>105</v>
      </c>
      <c r="B681" s="192" t="s">
        <v>555</v>
      </c>
      <c r="C681" s="220" t="s">
        <v>74</v>
      </c>
      <c r="D681" s="177" t="s">
        <v>224</v>
      </c>
      <c r="E681" s="151">
        <v>31190</v>
      </c>
      <c r="F681" s="152">
        <f>SUM(G681)</f>
        <v>0</v>
      </c>
      <c r="G681" s="153">
        <v>0</v>
      </c>
    </row>
    <row r="682" spans="1:7" x14ac:dyDescent="0.4">
      <c r="B682" s="182" t="s">
        <v>555</v>
      </c>
      <c r="C682" s="201" t="s">
        <v>74</v>
      </c>
      <c r="D682" s="165" t="s">
        <v>248</v>
      </c>
      <c r="E682" s="11">
        <v>31190</v>
      </c>
      <c r="F682" s="113">
        <f>SUM(G682)</f>
        <v>0</v>
      </c>
      <c r="G682" s="132">
        <v>0</v>
      </c>
    </row>
    <row r="683" spans="1:7" ht="19.5" customHeight="1" thickBot="1" x14ac:dyDescent="0.45">
      <c r="B683" s="183" t="s">
        <v>555</v>
      </c>
      <c r="C683" s="202" t="s">
        <v>74</v>
      </c>
      <c r="D683" s="178" t="s">
        <v>66</v>
      </c>
      <c r="E683" s="55">
        <v>31190</v>
      </c>
      <c r="F683" s="134">
        <f>SUM(G683)</f>
        <v>0</v>
      </c>
      <c r="G683" s="112">
        <v>0</v>
      </c>
    </row>
    <row r="684" spans="1:7" ht="19.5" customHeight="1" thickBot="1" x14ac:dyDescent="0.45"/>
    <row r="685" spans="1:7" s="150" customFormat="1" ht="21" customHeight="1" x14ac:dyDescent="0.4">
      <c r="A685" s="146">
        <v>106</v>
      </c>
      <c r="B685" s="192" t="s">
        <v>556</v>
      </c>
      <c r="C685" s="220" t="s">
        <v>50</v>
      </c>
      <c r="D685" s="177" t="s">
        <v>54</v>
      </c>
      <c r="E685" s="151">
        <v>35800</v>
      </c>
      <c r="F685" s="152">
        <f>SUM(G685)</f>
        <v>0</v>
      </c>
      <c r="G685" s="153">
        <v>0</v>
      </c>
    </row>
    <row r="686" spans="1:7" x14ac:dyDescent="0.4">
      <c r="B686" s="182" t="s">
        <v>556</v>
      </c>
      <c r="C686" s="201" t="s">
        <v>50</v>
      </c>
      <c r="D686" s="165" t="s">
        <v>55</v>
      </c>
      <c r="E686" s="11">
        <v>27800</v>
      </c>
      <c r="F686" s="113">
        <f>SUM(G686)</f>
        <v>2</v>
      </c>
      <c r="G686" s="132">
        <v>2</v>
      </c>
    </row>
    <row r="687" spans="1:7" ht="19.5" customHeight="1" thickBot="1" x14ac:dyDescent="0.45">
      <c r="B687" s="183" t="s">
        <v>556</v>
      </c>
      <c r="C687" s="202" t="s">
        <v>50</v>
      </c>
      <c r="D687" s="178" t="s">
        <v>56</v>
      </c>
      <c r="E687" s="55">
        <v>23300</v>
      </c>
      <c r="F687" s="134">
        <f>SUM(G687)</f>
        <v>2</v>
      </c>
      <c r="G687" s="112">
        <v>2</v>
      </c>
    </row>
    <row r="688" spans="1:7" ht="19.5" customHeight="1" thickBot="1" x14ac:dyDescent="0.45"/>
    <row r="689" spans="1:7" s="150" customFormat="1" ht="20.25" customHeight="1" x14ac:dyDescent="0.4">
      <c r="A689" s="146">
        <v>107</v>
      </c>
      <c r="B689" s="192" t="s">
        <v>557</v>
      </c>
      <c r="C689" s="220" t="s">
        <v>101</v>
      </c>
      <c r="D689" s="177" t="s">
        <v>54</v>
      </c>
      <c r="E689" s="151">
        <v>36600</v>
      </c>
      <c r="F689" s="154">
        <f>SUM(G689)</f>
        <v>0</v>
      </c>
      <c r="G689" s="153">
        <v>0</v>
      </c>
    </row>
    <row r="690" spans="1:7" x14ac:dyDescent="0.4">
      <c r="B690" s="182" t="s">
        <v>557</v>
      </c>
      <c r="C690" s="201" t="s">
        <v>101</v>
      </c>
      <c r="D690" s="165" t="s">
        <v>55</v>
      </c>
      <c r="E690" s="11">
        <v>28600</v>
      </c>
      <c r="F690" s="109">
        <f>SUM(G690)</f>
        <v>0</v>
      </c>
      <c r="G690" s="132">
        <v>0</v>
      </c>
    </row>
    <row r="691" spans="1:7" ht="19.5" customHeight="1" thickBot="1" x14ac:dyDescent="0.45">
      <c r="B691" s="183" t="s">
        <v>557</v>
      </c>
      <c r="C691" s="202" t="s">
        <v>101</v>
      </c>
      <c r="D691" s="178" t="s">
        <v>56</v>
      </c>
      <c r="E691" s="55">
        <v>24100</v>
      </c>
      <c r="F691" s="134">
        <f>SUM(G691)</f>
        <v>4</v>
      </c>
      <c r="G691" s="112">
        <v>4</v>
      </c>
    </row>
    <row r="692" spans="1:7" ht="19.5" customHeight="1" thickBot="1" x14ac:dyDescent="0.45"/>
    <row r="693" spans="1:7" s="150" customFormat="1" ht="24.75" customHeight="1" x14ac:dyDescent="0.4">
      <c r="A693" s="146">
        <v>108</v>
      </c>
      <c r="B693" s="192" t="s">
        <v>558</v>
      </c>
      <c r="C693" s="220" t="s">
        <v>559</v>
      </c>
      <c r="D693" s="177" t="s">
        <v>54</v>
      </c>
      <c r="E693" s="151">
        <v>38100</v>
      </c>
      <c r="F693" s="152">
        <f>SUM(G693)</f>
        <v>0</v>
      </c>
      <c r="G693" s="153">
        <v>0</v>
      </c>
    </row>
    <row r="694" spans="1:7" x14ac:dyDescent="0.4">
      <c r="B694" s="182" t="s">
        <v>558</v>
      </c>
      <c r="C694" s="201" t="s">
        <v>559</v>
      </c>
      <c r="D694" s="165" t="s">
        <v>55</v>
      </c>
      <c r="E694" s="11">
        <v>29000</v>
      </c>
      <c r="F694" s="113">
        <f>SUM(G694)</f>
        <v>1</v>
      </c>
      <c r="G694" s="132">
        <v>1</v>
      </c>
    </row>
    <row r="695" spans="1:7" ht="19.5" customHeight="1" thickBot="1" x14ac:dyDescent="0.45">
      <c r="B695" s="183" t="s">
        <v>558</v>
      </c>
      <c r="C695" s="202" t="s">
        <v>559</v>
      </c>
      <c r="D695" s="178" t="s">
        <v>56</v>
      </c>
      <c r="E695" s="55">
        <v>25600</v>
      </c>
      <c r="F695" s="134">
        <f>SUM(G695)</f>
        <v>2</v>
      </c>
      <c r="G695" s="112">
        <v>2</v>
      </c>
    </row>
    <row r="696" spans="1:7" ht="19.5" customHeight="1" thickBot="1" x14ac:dyDescent="0.45"/>
    <row r="697" spans="1:7" ht="19.5" customHeight="1" thickBot="1" x14ac:dyDescent="0.45">
      <c r="A697" s="8">
        <v>109</v>
      </c>
      <c r="B697" s="193" t="s">
        <v>560</v>
      </c>
      <c r="C697" s="221" t="s">
        <v>90</v>
      </c>
      <c r="D697" s="167" t="s">
        <v>91</v>
      </c>
      <c r="E697" s="28">
        <v>8890</v>
      </c>
      <c r="F697" s="119">
        <f>SUM(G697)</f>
        <v>2</v>
      </c>
      <c r="G697" s="111">
        <v>2</v>
      </c>
    </row>
    <row r="698" spans="1:7" ht="19.5" customHeight="1" thickBot="1" x14ac:dyDescent="0.45"/>
    <row r="699" spans="1:7" ht="19.5" customHeight="1" thickBot="1" x14ac:dyDescent="0.45">
      <c r="A699" s="8">
        <v>110</v>
      </c>
      <c r="B699" s="193" t="s">
        <v>561</v>
      </c>
      <c r="C699" s="221" t="s">
        <v>92</v>
      </c>
      <c r="D699" s="167" t="s">
        <v>91</v>
      </c>
      <c r="E699" s="28">
        <v>10790</v>
      </c>
      <c r="F699" s="119">
        <f>SUM(G699)</f>
        <v>0</v>
      </c>
      <c r="G699" s="111">
        <v>0</v>
      </c>
    </row>
    <row r="700" spans="1:7" ht="19.5" customHeight="1" thickBot="1" x14ac:dyDescent="0.45"/>
    <row r="701" spans="1:7" s="150" customFormat="1" ht="24.75" customHeight="1" thickBot="1" x14ac:dyDescent="0.45">
      <c r="A701" s="146">
        <v>111</v>
      </c>
      <c r="B701" s="194" t="s">
        <v>685</v>
      </c>
      <c r="C701" s="222" t="s">
        <v>563</v>
      </c>
      <c r="D701" s="171" t="s">
        <v>91</v>
      </c>
      <c r="E701" s="147">
        <v>21889</v>
      </c>
      <c r="F701" s="148">
        <f>SUM(G701)</f>
        <v>0</v>
      </c>
      <c r="G701" s="149">
        <v>0</v>
      </c>
    </row>
    <row r="702" spans="1:7" ht="19.5" customHeight="1" thickBot="1" x14ac:dyDescent="0.45"/>
    <row r="703" spans="1:7" ht="23.25" customHeight="1" thickBot="1" x14ac:dyDescent="0.45">
      <c r="A703" s="8">
        <v>112</v>
      </c>
      <c r="B703" s="193" t="s">
        <v>686</v>
      </c>
      <c r="C703" s="221" t="s">
        <v>565</v>
      </c>
      <c r="D703" s="167" t="s">
        <v>94</v>
      </c>
      <c r="E703" s="28">
        <v>24062</v>
      </c>
      <c r="F703" s="119">
        <f>SUM(G703)</f>
        <v>0</v>
      </c>
      <c r="G703" s="111">
        <v>0</v>
      </c>
    </row>
    <row r="704" spans="1:7" ht="19.5" customHeight="1" thickBot="1" x14ac:dyDescent="0.45"/>
    <row r="705" spans="1:7" x14ac:dyDescent="0.4">
      <c r="A705" s="8">
        <v>113</v>
      </c>
      <c r="B705" s="181" t="s">
        <v>566</v>
      </c>
      <c r="C705" s="214" t="s">
        <v>567</v>
      </c>
      <c r="D705" s="156" t="s">
        <v>119</v>
      </c>
      <c r="E705" s="13">
        <v>4390</v>
      </c>
      <c r="F705" s="108">
        <f>SUM(G705)</f>
        <v>0</v>
      </c>
      <c r="G705" s="104">
        <v>0</v>
      </c>
    </row>
    <row r="706" spans="1:7" ht="19.5" customHeight="1" thickBot="1" x14ac:dyDescent="0.45">
      <c r="B706" s="183" t="s">
        <v>566</v>
      </c>
      <c r="C706" s="202" t="s">
        <v>567</v>
      </c>
      <c r="D706" s="178" t="s">
        <v>121</v>
      </c>
      <c r="E706" s="55">
        <v>4490</v>
      </c>
      <c r="F706" s="134">
        <f>SUM(G706)</f>
        <v>0</v>
      </c>
      <c r="G706" s="112">
        <v>0</v>
      </c>
    </row>
    <row r="707" spans="1:7" ht="19.5" customHeight="1" thickBot="1" x14ac:dyDescent="0.45"/>
    <row r="708" spans="1:7" x14ac:dyDescent="0.4">
      <c r="A708" s="8">
        <v>114</v>
      </c>
      <c r="B708" s="181" t="s">
        <v>568</v>
      </c>
      <c r="C708" s="214" t="s">
        <v>110</v>
      </c>
      <c r="D708" s="156" t="s">
        <v>119</v>
      </c>
      <c r="E708" s="13">
        <v>11070</v>
      </c>
      <c r="F708" s="108">
        <f>SUM(G708)</f>
        <v>0</v>
      </c>
      <c r="G708" s="104">
        <v>0</v>
      </c>
    </row>
    <row r="709" spans="1:7" ht="19.5" customHeight="1" thickBot="1" x14ac:dyDescent="0.45">
      <c r="B709" s="183" t="s">
        <v>568</v>
      </c>
      <c r="C709" s="202" t="s">
        <v>110</v>
      </c>
      <c r="D709" s="178" t="s">
        <v>121</v>
      </c>
      <c r="E709" s="55">
        <v>11440</v>
      </c>
      <c r="F709" s="134">
        <f>SUM(G709)</f>
        <v>0</v>
      </c>
      <c r="G709" s="112">
        <v>0</v>
      </c>
    </row>
    <row r="710" spans="1:7" ht="19.5" customHeight="1" thickBot="1" x14ac:dyDescent="0.45"/>
    <row r="711" spans="1:7" x14ac:dyDescent="0.4">
      <c r="A711" s="8">
        <v>115</v>
      </c>
      <c r="B711" s="181" t="s">
        <v>569</v>
      </c>
      <c r="C711" s="214" t="s">
        <v>570</v>
      </c>
      <c r="D711" s="156" t="s">
        <v>119</v>
      </c>
      <c r="E711" s="13">
        <v>11930</v>
      </c>
      <c r="F711" s="108">
        <f>SUM(G711)</f>
        <v>0</v>
      </c>
      <c r="G711" s="104">
        <v>0</v>
      </c>
    </row>
    <row r="712" spans="1:7" ht="19.5" customHeight="1" thickBot="1" x14ac:dyDescent="0.45">
      <c r="B712" s="183" t="s">
        <v>569</v>
      </c>
      <c r="C712" s="202" t="s">
        <v>570</v>
      </c>
      <c r="D712" s="178" t="s">
        <v>121</v>
      </c>
      <c r="E712" s="55">
        <v>13230</v>
      </c>
      <c r="F712" s="134">
        <f>SUM(G712)</f>
        <v>1</v>
      </c>
      <c r="G712" s="112">
        <v>1</v>
      </c>
    </row>
    <row r="713" spans="1:7" ht="19.5" customHeight="1" thickBot="1" x14ac:dyDescent="0.45"/>
    <row r="714" spans="1:7" x14ac:dyDescent="0.4">
      <c r="A714" s="8">
        <v>116</v>
      </c>
      <c r="B714" s="181" t="s">
        <v>571</v>
      </c>
      <c r="C714" s="214" t="s">
        <v>112</v>
      </c>
      <c r="D714" s="156" t="s">
        <v>119</v>
      </c>
      <c r="E714" s="13">
        <v>18160</v>
      </c>
      <c r="F714" s="108">
        <f>SUM(G714)</f>
        <v>0</v>
      </c>
      <c r="G714" s="104">
        <v>0</v>
      </c>
    </row>
    <row r="715" spans="1:7" ht="19.5" customHeight="1" thickBot="1" x14ac:dyDescent="0.45">
      <c r="B715" s="183" t="s">
        <v>571</v>
      </c>
      <c r="C715" s="202" t="s">
        <v>112</v>
      </c>
      <c r="D715" s="178" t="s">
        <v>121</v>
      </c>
      <c r="E715" s="55">
        <v>18530</v>
      </c>
      <c r="F715" s="134">
        <f>SUM(G715)</f>
        <v>0</v>
      </c>
      <c r="G715" s="112">
        <v>0</v>
      </c>
    </row>
    <row r="716" spans="1:7" ht="19.5" customHeight="1" thickBot="1" x14ac:dyDescent="0.45"/>
    <row r="717" spans="1:7" x14ac:dyDescent="0.4">
      <c r="A717" s="8">
        <v>117</v>
      </c>
      <c r="B717" s="181" t="s">
        <v>572</v>
      </c>
      <c r="C717" s="214" t="s">
        <v>104</v>
      </c>
      <c r="D717" s="156" t="s">
        <v>119</v>
      </c>
      <c r="E717" s="13">
        <v>18830</v>
      </c>
      <c r="F717" s="108">
        <f>SUM(G717)</f>
        <v>0</v>
      </c>
      <c r="G717" s="104">
        <v>0</v>
      </c>
    </row>
    <row r="718" spans="1:7" ht="19.5" customHeight="1" thickBot="1" x14ac:dyDescent="0.45">
      <c r="B718" s="183" t="s">
        <v>572</v>
      </c>
      <c r="C718" s="202" t="s">
        <v>104</v>
      </c>
      <c r="D718" s="178" t="s">
        <v>121</v>
      </c>
      <c r="E718" s="55">
        <v>19250</v>
      </c>
      <c r="F718" s="134">
        <f>SUM(G718)</f>
        <v>1</v>
      </c>
      <c r="G718" s="112">
        <v>1</v>
      </c>
    </row>
    <row r="719" spans="1:7" ht="19.5" customHeight="1" thickBot="1" x14ac:dyDescent="0.45"/>
    <row r="720" spans="1:7" x14ac:dyDescent="0.4">
      <c r="A720" s="8">
        <v>118</v>
      </c>
      <c r="B720" s="181" t="s">
        <v>573</v>
      </c>
      <c r="C720" s="214" t="s">
        <v>117</v>
      </c>
      <c r="D720" s="156" t="s">
        <v>119</v>
      </c>
      <c r="E720" s="13">
        <v>5980</v>
      </c>
      <c r="F720" s="108">
        <f>SUM(G720)</f>
        <v>0</v>
      </c>
      <c r="G720" s="104">
        <v>0</v>
      </c>
    </row>
    <row r="721" spans="1:9" ht="19.5" customHeight="1" thickBot="1" x14ac:dyDescent="0.45">
      <c r="B721" s="183" t="s">
        <v>573</v>
      </c>
      <c r="C721" s="202" t="s">
        <v>117</v>
      </c>
      <c r="D721" s="178" t="s">
        <v>121</v>
      </c>
      <c r="E721" s="55">
        <v>5980</v>
      </c>
      <c r="F721" s="134">
        <f>SUM(G721)</f>
        <v>0</v>
      </c>
      <c r="G721" s="112">
        <v>0</v>
      </c>
    </row>
    <row r="722" spans="1:9" ht="25.5" customHeight="1" thickBot="1" x14ac:dyDescent="0.3">
      <c r="A722" s="30"/>
      <c r="B722" s="197"/>
      <c r="C722" s="197"/>
      <c r="D722" s="179"/>
      <c r="E722" s="29"/>
      <c r="F722" s="155"/>
      <c r="G722" s="155"/>
      <c r="H722" s="29"/>
      <c r="I722" s="29"/>
    </row>
    <row r="723" spans="1:9" ht="19.5" customHeight="1" thickBot="1" x14ac:dyDescent="0.45">
      <c r="A723" s="8">
        <v>1</v>
      </c>
      <c r="B723" s="193" t="s">
        <v>132</v>
      </c>
      <c r="C723" s="221" t="s">
        <v>133</v>
      </c>
      <c r="D723" s="167" t="s">
        <v>134</v>
      </c>
      <c r="E723" s="28">
        <v>124990</v>
      </c>
      <c r="F723" s="119">
        <f>SUM(G723)</f>
        <v>0</v>
      </c>
      <c r="G723" s="111">
        <v>0</v>
      </c>
    </row>
    <row r="724" spans="1:9" ht="19.5" customHeight="1" thickBot="1" x14ac:dyDescent="0.45"/>
    <row r="725" spans="1:9" ht="19.5" customHeight="1" thickBot="1" x14ac:dyDescent="0.45">
      <c r="A725" s="8">
        <v>2</v>
      </c>
      <c r="B725" s="193" t="s">
        <v>135</v>
      </c>
      <c r="C725" s="221" t="s">
        <v>136</v>
      </c>
      <c r="D725" s="167"/>
      <c r="E725" s="28">
        <v>99990</v>
      </c>
      <c r="F725" s="119">
        <f>SUM(G725)</f>
        <v>0</v>
      </c>
      <c r="G725" s="111">
        <v>0</v>
      </c>
    </row>
    <row r="726" spans="1:9" ht="19.5" customHeight="1" thickBot="1" x14ac:dyDescent="0.45"/>
    <row r="727" spans="1:9" ht="19.5" customHeight="1" thickBot="1" x14ac:dyDescent="0.45">
      <c r="A727" s="8">
        <v>3</v>
      </c>
      <c r="B727" s="193" t="s">
        <v>137</v>
      </c>
      <c r="C727" s="221" t="s">
        <v>138</v>
      </c>
      <c r="D727" s="167"/>
      <c r="E727" s="28">
        <v>149990</v>
      </c>
      <c r="F727" s="119">
        <f>SUM(G727)</f>
        <v>1</v>
      </c>
      <c r="G727" s="111">
        <v>1</v>
      </c>
    </row>
    <row r="728" spans="1:9" ht="19.5" customHeight="1" thickBot="1" x14ac:dyDescent="0.45"/>
    <row r="729" spans="1:9" ht="19.5" customHeight="1" thickBot="1" x14ac:dyDescent="0.45">
      <c r="A729" s="8">
        <v>4</v>
      </c>
      <c r="B729" s="193" t="s">
        <v>139</v>
      </c>
      <c r="C729" s="221" t="s">
        <v>136</v>
      </c>
      <c r="D729" s="167"/>
      <c r="E729" s="28">
        <v>60990</v>
      </c>
      <c r="F729" s="119">
        <f>SUM(G729)</f>
        <v>2</v>
      </c>
      <c r="G729" s="111">
        <v>2</v>
      </c>
    </row>
    <row r="730" spans="1:9" ht="19.5" customHeight="1" thickBot="1" x14ac:dyDescent="0.45"/>
    <row r="731" spans="1:9" ht="19.5" customHeight="1" thickBot="1" x14ac:dyDescent="0.45">
      <c r="A731" s="8">
        <v>5</v>
      </c>
      <c r="B731" s="193" t="s">
        <v>140</v>
      </c>
      <c r="C731" s="221" t="s">
        <v>141</v>
      </c>
      <c r="D731" s="167"/>
      <c r="E731" s="28">
        <v>51990</v>
      </c>
      <c r="F731" s="119">
        <f>SUM(G731)</f>
        <v>0</v>
      </c>
      <c r="G731" s="111">
        <v>0</v>
      </c>
    </row>
    <row r="732" spans="1:9" ht="19.5" customHeight="1" thickBot="1" x14ac:dyDescent="0.45"/>
    <row r="733" spans="1:9" ht="19.5" customHeight="1" thickBot="1" x14ac:dyDescent="0.45">
      <c r="A733" s="8">
        <v>6</v>
      </c>
      <c r="B733" s="193" t="s">
        <v>142</v>
      </c>
      <c r="C733" s="221" t="s">
        <v>136</v>
      </c>
      <c r="D733" s="167"/>
      <c r="E733" s="28">
        <v>108990</v>
      </c>
      <c r="F733" s="119">
        <f>SUM(G733)</f>
        <v>0</v>
      </c>
      <c r="G733" s="111">
        <v>0</v>
      </c>
    </row>
    <row r="734" spans="1:9" ht="19.5" customHeight="1" thickBot="1" x14ac:dyDescent="0.45"/>
    <row r="735" spans="1:9" x14ac:dyDescent="0.4">
      <c r="A735" s="8">
        <v>7</v>
      </c>
      <c r="B735" s="181" t="s">
        <v>143</v>
      </c>
      <c r="C735" s="216" t="s">
        <v>144</v>
      </c>
      <c r="D735" s="156"/>
      <c r="E735" s="13">
        <v>52990</v>
      </c>
      <c r="F735" s="108">
        <f>SUM(G735)</f>
        <v>0</v>
      </c>
      <c r="G735" s="104">
        <v>0</v>
      </c>
    </row>
    <row r="736" spans="1:9" ht="19.5" customHeight="1" thickBot="1" x14ac:dyDescent="0.45">
      <c r="B736" s="183" t="s">
        <v>143</v>
      </c>
      <c r="C736" s="223" t="s">
        <v>145</v>
      </c>
      <c r="D736" s="158"/>
      <c r="E736" s="17">
        <v>61990</v>
      </c>
      <c r="F736" s="110">
        <v>0</v>
      </c>
      <c r="G736" s="106">
        <v>0</v>
      </c>
    </row>
    <row r="737" spans="1:7" ht="19.5" customHeight="1" thickBot="1" x14ac:dyDescent="0.45"/>
    <row r="738" spans="1:7" ht="19.5" customHeight="1" thickBot="1" x14ac:dyDescent="0.45">
      <c r="A738" s="8">
        <v>8</v>
      </c>
      <c r="B738" s="193" t="s">
        <v>146</v>
      </c>
      <c r="C738" s="221" t="s">
        <v>145</v>
      </c>
      <c r="D738" s="167"/>
      <c r="E738" s="28">
        <v>64990</v>
      </c>
      <c r="F738" s="119">
        <f>SUM(G738)</f>
        <v>1</v>
      </c>
      <c r="G738" s="111">
        <v>1</v>
      </c>
    </row>
    <row r="739" spans="1:7" ht="19.5" customHeight="1" thickBot="1" x14ac:dyDescent="0.45"/>
    <row r="740" spans="1:7" ht="19.5" customHeight="1" thickBot="1" x14ac:dyDescent="0.45">
      <c r="A740" s="8">
        <v>9</v>
      </c>
      <c r="B740" s="193" t="s">
        <v>147</v>
      </c>
      <c r="C740" s="221" t="s">
        <v>145</v>
      </c>
      <c r="D740" s="167"/>
      <c r="E740" s="28">
        <v>59900</v>
      </c>
      <c r="F740" s="119">
        <f>SUM(G740)</f>
        <v>0</v>
      </c>
      <c r="G740" s="111">
        <v>0</v>
      </c>
    </row>
    <row r="741" spans="1:7" ht="19.5" customHeight="1" thickBot="1" x14ac:dyDescent="0.45"/>
    <row r="742" spans="1:7" x14ac:dyDescent="0.4">
      <c r="A742" s="8">
        <v>10</v>
      </c>
      <c r="B742" s="181" t="s">
        <v>148</v>
      </c>
      <c r="C742" s="214" t="s">
        <v>144</v>
      </c>
      <c r="D742" s="156"/>
      <c r="E742" s="13">
        <v>32990</v>
      </c>
      <c r="F742" s="108">
        <f>SUM(G742)</f>
        <v>1</v>
      </c>
      <c r="G742" s="104">
        <v>1</v>
      </c>
    </row>
    <row r="743" spans="1:7" x14ac:dyDescent="0.4">
      <c r="B743" s="182" t="s">
        <v>148</v>
      </c>
      <c r="C743" s="213" t="s">
        <v>141</v>
      </c>
      <c r="D743" s="169"/>
      <c r="E743" s="6">
        <v>38990</v>
      </c>
      <c r="F743" s="109">
        <f>SUM(G743)</f>
        <v>1</v>
      </c>
      <c r="G743" s="105">
        <v>1</v>
      </c>
    </row>
    <row r="744" spans="1:7" ht="19.5" customHeight="1" thickBot="1" x14ac:dyDescent="0.45">
      <c r="B744" s="183" t="s">
        <v>148</v>
      </c>
      <c r="C744" s="202" t="s">
        <v>145</v>
      </c>
      <c r="D744" s="158"/>
      <c r="E744" s="17">
        <v>44990</v>
      </c>
      <c r="F744" s="110">
        <f>SUM(G744)</f>
        <v>0</v>
      </c>
      <c r="G744" s="106">
        <v>0</v>
      </c>
    </row>
    <row r="745" spans="1:7" ht="19.5" customHeight="1" thickBot="1" x14ac:dyDescent="0.45"/>
    <row r="746" spans="1:7" ht="19.5" customHeight="1" thickBot="1" x14ac:dyDescent="0.45">
      <c r="A746" s="8">
        <v>11</v>
      </c>
      <c r="B746" s="193" t="s">
        <v>149</v>
      </c>
      <c r="C746" s="221" t="s">
        <v>145</v>
      </c>
      <c r="D746" s="167"/>
      <c r="E746" s="28">
        <v>60990</v>
      </c>
      <c r="F746" s="119">
        <f>SUM(G746)</f>
        <v>0</v>
      </c>
      <c r="G746" s="111">
        <v>0</v>
      </c>
    </row>
    <row r="747" spans="1:7" ht="19.5" customHeight="1" thickBot="1" x14ac:dyDescent="0.45"/>
    <row r="748" spans="1:7" ht="19.5" customHeight="1" thickBot="1" x14ac:dyDescent="0.45">
      <c r="A748" s="8">
        <v>12</v>
      </c>
      <c r="B748" s="193" t="s">
        <v>150</v>
      </c>
      <c r="C748" s="221" t="s">
        <v>145</v>
      </c>
      <c r="D748" s="167"/>
      <c r="E748" s="28">
        <v>62990</v>
      </c>
      <c r="F748" s="119">
        <f>SUM(G748)</f>
        <v>0</v>
      </c>
      <c r="G748" s="111">
        <v>0</v>
      </c>
    </row>
    <row r="749" spans="1:7" ht="19.5" customHeight="1" thickBot="1" x14ac:dyDescent="0.45"/>
    <row r="750" spans="1:7" x14ac:dyDescent="0.4">
      <c r="A750" s="8">
        <v>13</v>
      </c>
      <c r="B750" s="181" t="s">
        <v>151</v>
      </c>
      <c r="C750" s="216" t="s">
        <v>144</v>
      </c>
      <c r="D750" s="156"/>
      <c r="E750" s="13">
        <v>49490</v>
      </c>
      <c r="F750" s="108">
        <f>SUM(G750)</f>
        <v>2</v>
      </c>
      <c r="G750" s="104">
        <v>2</v>
      </c>
    </row>
    <row r="751" spans="1:7" x14ac:dyDescent="0.4">
      <c r="B751" s="182" t="s">
        <v>151</v>
      </c>
      <c r="C751" s="224" t="s">
        <v>141</v>
      </c>
      <c r="D751" s="157"/>
      <c r="E751" s="6">
        <v>55490</v>
      </c>
      <c r="F751" s="109">
        <f>SUM(G751)</f>
        <v>0</v>
      </c>
      <c r="G751" s="105">
        <v>0</v>
      </c>
    </row>
    <row r="752" spans="1:7" ht="19.5" customHeight="1" thickBot="1" x14ac:dyDescent="0.45">
      <c r="B752" s="183" t="s">
        <v>151</v>
      </c>
      <c r="C752" s="223" t="s">
        <v>145</v>
      </c>
      <c r="D752" s="158"/>
      <c r="E752" s="17">
        <v>63190</v>
      </c>
      <c r="F752" s="110">
        <f>SUM(G752)</f>
        <v>0</v>
      </c>
      <c r="G752" s="106">
        <v>0</v>
      </c>
    </row>
    <row r="753" spans="1:7" ht="19.5" customHeight="1" thickBot="1" x14ac:dyDescent="0.45"/>
    <row r="754" spans="1:7" x14ac:dyDescent="0.4">
      <c r="A754" s="8">
        <v>14</v>
      </c>
      <c r="B754" s="181" t="s">
        <v>152</v>
      </c>
      <c r="C754" s="216" t="s">
        <v>144</v>
      </c>
      <c r="D754" s="156"/>
      <c r="E754" s="13">
        <v>41590</v>
      </c>
      <c r="F754" s="108">
        <f>SUM(G754)</f>
        <v>2</v>
      </c>
      <c r="G754" s="104">
        <v>2</v>
      </c>
    </row>
    <row r="755" spans="1:7" x14ac:dyDescent="0.4">
      <c r="B755" s="182" t="s">
        <v>152</v>
      </c>
      <c r="C755" s="224" t="s">
        <v>141</v>
      </c>
      <c r="D755" s="157"/>
      <c r="E755" s="6">
        <v>45590</v>
      </c>
      <c r="F755" s="109">
        <f>SUM(G755)</f>
        <v>3</v>
      </c>
      <c r="G755" s="105">
        <v>3</v>
      </c>
    </row>
    <row r="756" spans="1:7" ht="19.5" customHeight="1" thickBot="1" x14ac:dyDescent="0.45">
      <c r="B756" s="183" t="s">
        <v>152</v>
      </c>
      <c r="C756" s="223" t="s">
        <v>145</v>
      </c>
      <c r="D756" s="158"/>
      <c r="E756" s="17">
        <v>50790</v>
      </c>
      <c r="F756" s="110">
        <f>SUM(G756)</f>
        <v>1</v>
      </c>
      <c r="G756" s="106">
        <v>1</v>
      </c>
    </row>
    <row r="757" spans="1:7" ht="19.5" customHeight="1" thickBot="1" x14ac:dyDescent="0.45"/>
    <row r="758" spans="1:7" x14ac:dyDescent="0.4">
      <c r="A758" s="8">
        <v>15</v>
      </c>
      <c r="B758" s="181" t="s">
        <v>153</v>
      </c>
      <c r="C758" s="216" t="s">
        <v>144</v>
      </c>
      <c r="D758" s="156"/>
      <c r="E758" s="13">
        <v>43990</v>
      </c>
      <c r="F758" s="108">
        <f>SUM(G758)</f>
        <v>0</v>
      </c>
      <c r="G758" s="104">
        <v>0</v>
      </c>
    </row>
    <row r="759" spans="1:7" x14ac:dyDescent="0.4">
      <c r="B759" s="182" t="s">
        <v>153</v>
      </c>
      <c r="C759" s="224" t="s">
        <v>141</v>
      </c>
      <c r="D759" s="157"/>
      <c r="E759" s="6">
        <v>48590</v>
      </c>
      <c r="F759" s="109">
        <f>SUM(G759)</f>
        <v>0</v>
      </c>
      <c r="G759" s="105">
        <v>0</v>
      </c>
    </row>
    <row r="760" spans="1:7" ht="19.5" customHeight="1" thickBot="1" x14ac:dyDescent="0.45">
      <c r="B760" s="183" t="s">
        <v>153</v>
      </c>
      <c r="C760" s="223" t="s">
        <v>145</v>
      </c>
      <c r="D760" s="158"/>
      <c r="E760" s="17">
        <v>57890</v>
      </c>
      <c r="F760" s="110">
        <f>SUM(G760)</f>
        <v>0</v>
      </c>
      <c r="G760" s="106">
        <v>0</v>
      </c>
    </row>
    <row r="761" spans="1:7" ht="19.5" customHeight="1" thickBot="1" x14ac:dyDescent="0.45"/>
    <row r="762" spans="1:7" x14ac:dyDescent="0.4">
      <c r="A762" s="8">
        <v>16</v>
      </c>
      <c r="B762" s="181" t="s">
        <v>154</v>
      </c>
      <c r="C762" s="216" t="s">
        <v>144</v>
      </c>
      <c r="D762" s="156"/>
      <c r="E762" s="13">
        <v>64290</v>
      </c>
      <c r="F762" s="108">
        <f>SUM(G762)</f>
        <v>1</v>
      </c>
      <c r="G762" s="104">
        <v>1</v>
      </c>
    </row>
    <row r="763" spans="1:7" ht="19.5" customHeight="1" thickBot="1" x14ac:dyDescent="0.45">
      <c r="B763" s="183" t="s">
        <v>154</v>
      </c>
      <c r="C763" s="223" t="s">
        <v>145</v>
      </c>
      <c r="D763" s="158"/>
      <c r="E763" s="17">
        <v>75290</v>
      </c>
      <c r="F763" s="110">
        <f>SUM(G763)</f>
        <v>0</v>
      </c>
      <c r="G763" s="106">
        <v>0</v>
      </c>
    </row>
    <row r="764" spans="1:7" ht="19.5" customHeight="1" thickBot="1" x14ac:dyDescent="0.45"/>
    <row r="765" spans="1:7" x14ac:dyDescent="0.4">
      <c r="A765" s="8">
        <v>17</v>
      </c>
      <c r="B765" s="181" t="s">
        <v>155</v>
      </c>
      <c r="C765" s="216" t="s">
        <v>144</v>
      </c>
      <c r="D765" s="156"/>
      <c r="E765" s="13">
        <v>29990</v>
      </c>
      <c r="F765" s="108">
        <f>SUM(G765)</f>
        <v>0</v>
      </c>
      <c r="G765" s="104">
        <v>0</v>
      </c>
    </row>
    <row r="766" spans="1:7" x14ac:dyDescent="0.4">
      <c r="B766" s="182" t="s">
        <v>155</v>
      </c>
      <c r="C766" s="224" t="s">
        <v>141</v>
      </c>
      <c r="D766" s="157"/>
      <c r="E766" s="6">
        <v>35890</v>
      </c>
      <c r="F766" s="109">
        <f>SUM(G766)</f>
        <v>1</v>
      </c>
      <c r="G766" s="105">
        <v>1</v>
      </c>
    </row>
    <row r="767" spans="1:7" ht="19.5" customHeight="1" thickBot="1" x14ac:dyDescent="0.45">
      <c r="B767" s="183" t="s">
        <v>155</v>
      </c>
      <c r="C767" s="223" t="s">
        <v>145</v>
      </c>
      <c r="D767" s="158"/>
      <c r="E767" s="17">
        <v>39590</v>
      </c>
      <c r="F767" s="110">
        <f>SUM(G767)</f>
        <v>0</v>
      </c>
      <c r="G767" s="106">
        <v>0</v>
      </c>
    </row>
    <row r="768" spans="1:7" ht="19.5" customHeight="1" thickBot="1" x14ac:dyDescent="0.45"/>
    <row r="769" spans="1:7" x14ac:dyDescent="0.4">
      <c r="A769" s="8">
        <v>18</v>
      </c>
      <c r="B769" s="181" t="s">
        <v>156</v>
      </c>
      <c r="C769" s="214" t="s">
        <v>144</v>
      </c>
      <c r="D769" s="156"/>
      <c r="E769" s="13">
        <v>31890</v>
      </c>
      <c r="F769" s="108">
        <f>SUM(G769)</f>
        <v>6</v>
      </c>
      <c r="G769" s="104">
        <v>6</v>
      </c>
    </row>
    <row r="770" spans="1:7" x14ac:dyDescent="0.4">
      <c r="B770" s="182" t="s">
        <v>156</v>
      </c>
      <c r="C770" s="201" t="s">
        <v>141</v>
      </c>
      <c r="D770" s="157"/>
      <c r="E770" s="6">
        <v>37390</v>
      </c>
      <c r="F770" s="109">
        <f>SUM(G770)</f>
        <v>3</v>
      </c>
      <c r="G770" s="105">
        <v>3</v>
      </c>
    </row>
    <row r="771" spans="1:7" ht="19.5" customHeight="1" thickBot="1" x14ac:dyDescent="0.45">
      <c r="B771" s="183" t="s">
        <v>156</v>
      </c>
      <c r="C771" s="202" t="s">
        <v>145</v>
      </c>
      <c r="D771" s="158"/>
      <c r="E771" s="17">
        <v>39990</v>
      </c>
      <c r="F771" s="110">
        <f>SUM(G771)</f>
        <v>6</v>
      </c>
      <c r="G771" s="106">
        <v>6</v>
      </c>
    </row>
    <row r="772" spans="1:7" ht="19.5" customHeight="1" thickBot="1" x14ac:dyDescent="0.45"/>
    <row r="773" spans="1:7" x14ac:dyDescent="0.4">
      <c r="A773" s="8">
        <v>19</v>
      </c>
      <c r="B773" s="181" t="s">
        <v>157</v>
      </c>
      <c r="C773" s="214" t="s">
        <v>144</v>
      </c>
      <c r="D773" s="156"/>
      <c r="E773" s="13">
        <v>28590</v>
      </c>
      <c r="F773" s="108">
        <f>SUM(G773)</f>
        <v>0</v>
      </c>
      <c r="G773" s="104">
        <v>0</v>
      </c>
    </row>
    <row r="774" spans="1:7" x14ac:dyDescent="0.4">
      <c r="B774" s="182" t="s">
        <v>157</v>
      </c>
      <c r="C774" s="201" t="s">
        <v>141</v>
      </c>
      <c r="D774" s="157"/>
      <c r="E774" s="6">
        <v>33990</v>
      </c>
      <c r="F774" s="109">
        <f>SUM(G774)</f>
        <v>1</v>
      </c>
      <c r="G774" s="105">
        <v>1</v>
      </c>
    </row>
    <row r="775" spans="1:7" ht="19.5" customHeight="1" thickBot="1" x14ac:dyDescent="0.45">
      <c r="B775" s="183" t="s">
        <v>157</v>
      </c>
      <c r="C775" s="202" t="s">
        <v>145</v>
      </c>
      <c r="D775" s="158"/>
      <c r="E775" s="17">
        <v>39990</v>
      </c>
      <c r="F775" s="110">
        <f>SUM(G775)</f>
        <v>0</v>
      </c>
      <c r="G775" s="106">
        <v>0</v>
      </c>
    </row>
    <row r="776" spans="1:7" ht="19.5" customHeight="1" thickBot="1" x14ac:dyDescent="0.45"/>
    <row r="777" spans="1:7" x14ac:dyDescent="0.4">
      <c r="A777" s="8">
        <v>20</v>
      </c>
      <c r="B777" s="181" t="s">
        <v>158</v>
      </c>
      <c r="C777" s="214" t="s">
        <v>144</v>
      </c>
      <c r="D777" s="156"/>
      <c r="E777" s="13">
        <v>46390</v>
      </c>
      <c r="F777" s="108">
        <f>SUM(G777)</f>
        <v>0</v>
      </c>
      <c r="G777" s="104">
        <v>0</v>
      </c>
    </row>
    <row r="778" spans="1:7" ht="19.5" customHeight="1" thickBot="1" x14ac:dyDescent="0.45">
      <c r="B778" s="183" t="s">
        <v>158</v>
      </c>
      <c r="C778" s="202" t="s">
        <v>145</v>
      </c>
      <c r="D778" s="158"/>
      <c r="E778" s="17">
        <v>53890</v>
      </c>
      <c r="F778" s="110">
        <f>SUM(G778)</f>
        <v>0</v>
      </c>
      <c r="G778" s="106">
        <v>0</v>
      </c>
    </row>
    <row r="779" spans="1:7" ht="19.5" customHeight="1" thickBot="1" x14ac:dyDescent="0.45"/>
    <row r="780" spans="1:7" x14ac:dyDescent="0.4">
      <c r="A780" s="8">
        <v>21</v>
      </c>
      <c r="B780" s="181" t="s">
        <v>159</v>
      </c>
      <c r="C780" s="216" t="s">
        <v>144</v>
      </c>
      <c r="D780" s="156" t="s">
        <v>459</v>
      </c>
      <c r="E780" s="13">
        <v>15290</v>
      </c>
      <c r="F780" s="108">
        <f>SUM(G780)</f>
        <v>1</v>
      </c>
      <c r="G780" s="104">
        <v>1</v>
      </c>
    </row>
    <row r="781" spans="1:7" x14ac:dyDescent="0.4">
      <c r="B781" s="182" t="s">
        <v>159</v>
      </c>
      <c r="C781" s="224" t="s">
        <v>145</v>
      </c>
      <c r="D781" s="157" t="s">
        <v>460</v>
      </c>
      <c r="E781" s="6">
        <v>18990</v>
      </c>
      <c r="F781" s="109">
        <f>SUM(G781)</f>
        <v>0</v>
      </c>
      <c r="G781" s="105">
        <v>0</v>
      </c>
    </row>
    <row r="782" spans="1:7" x14ac:dyDescent="0.4">
      <c r="B782" s="182" t="s">
        <v>159</v>
      </c>
      <c r="C782" s="224" t="s">
        <v>144</v>
      </c>
      <c r="D782" s="157" t="s">
        <v>461</v>
      </c>
      <c r="E782" s="6">
        <v>16690</v>
      </c>
      <c r="F782" s="109">
        <f>SUM(G782)</f>
        <v>0</v>
      </c>
      <c r="G782" s="105">
        <v>0</v>
      </c>
    </row>
    <row r="783" spans="1:7" ht="19.5" customHeight="1" thickBot="1" x14ac:dyDescent="0.45">
      <c r="B783" s="183" t="s">
        <v>159</v>
      </c>
      <c r="C783" s="223" t="s">
        <v>145</v>
      </c>
      <c r="D783" s="158" t="s">
        <v>461</v>
      </c>
      <c r="E783" s="17">
        <v>20490</v>
      </c>
      <c r="F783" s="110">
        <f>SUM(G783)</f>
        <v>0</v>
      </c>
      <c r="G783" s="106">
        <v>0</v>
      </c>
    </row>
    <row r="784" spans="1:7" ht="19.5" customHeight="1" thickBot="1" x14ac:dyDescent="0.45"/>
    <row r="785" spans="1:7" x14ac:dyDescent="0.4">
      <c r="A785" s="8">
        <v>22</v>
      </c>
      <c r="B785" s="181" t="s">
        <v>462</v>
      </c>
      <c r="C785" s="216" t="s">
        <v>144</v>
      </c>
      <c r="D785" s="156"/>
      <c r="E785" s="13">
        <v>34990</v>
      </c>
      <c r="F785" s="108">
        <f>SUM(G785)</f>
        <v>2</v>
      </c>
      <c r="G785" s="104">
        <v>2</v>
      </c>
    </row>
    <row r="786" spans="1:7" ht="19.5" customHeight="1" thickBot="1" x14ac:dyDescent="0.45">
      <c r="B786" s="183" t="s">
        <v>462</v>
      </c>
      <c r="C786" s="223" t="s">
        <v>136</v>
      </c>
      <c r="D786" s="158"/>
      <c r="E786" s="17">
        <v>39990</v>
      </c>
      <c r="F786" s="110">
        <f>SUM(G786)</f>
        <v>1</v>
      </c>
      <c r="G786" s="106">
        <v>1</v>
      </c>
    </row>
    <row r="787" spans="1:7" ht="19.5" customHeight="1" thickBot="1" x14ac:dyDescent="0.45"/>
    <row r="788" spans="1:7" x14ac:dyDescent="0.4">
      <c r="A788" s="8">
        <v>23</v>
      </c>
      <c r="B788" s="181" t="s">
        <v>463</v>
      </c>
      <c r="C788" s="216" t="s">
        <v>144</v>
      </c>
      <c r="D788" s="156"/>
      <c r="E788" s="13">
        <v>28300</v>
      </c>
      <c r="F788" s="108">
        <f>SUM(G788)</f>
        <v>2</v>
      </c>
      <c r="G788" s="104">
        <v>2</v>
      </c>
    </row>
    <row r="789" spans="1:7" x14ac:dyDescent="0.4">
      <c r="B789" s="182" t="s">
        <v>463</v>
      </c>
      <c r="C789" s="224" t="s">
        <v>464</v>
      </c>
      <c r="D789" s="157"/>
      <c r="E789" s="6">
        <v>30200</v>
      </c>
      <c r="F789" s="109">
        <f>SUM(G789)</f>
        <v>0</v>
      </c>
      <c r="G789" s="105">
        <v>0</v>
      </c>
    </row>
    <row r="790" spans="1:7" ht="19.5" customHeight="1" thickBot="1" x14ac:dyDescent="0.45">
      <c r="B790" s="183" t="s">
        <v>463</v>
      </c>
      <c r="C790" s="223" t="s">
        <v>136</v>
      </c>
      <c r="D790" s="158"/>
      <c r="E790" s="17">
        <v>31000</v>
      </c>
      <c r="F790" s="110">
        <f>SUM(G790)</f>
        <v>0</v>
      </c>
      <c r="G790" s="106">
        <v>0</v>
      </c>
    </row>
    <row r="791" spans="1:7" ht="19.5" customHeight="1" thickBot="1" x14ac:dyDescent="0.45"/>
    <row r="792" spans="1:7" x14ac:dyDescent="0.4">
      <c r="A792" s="8">
        <v>24</v>
      </c>
      <c r="B792" s="181" t="s">
        <v>465</v>
      </c>
      <c r="C792" s="216" t="s">
        <v>144</v>
      </c>
      <c r="D792" s="156"/>
      <c r="E792" s="13">
        <v>28300</v>
      </c>
      <c r="F792" s="108">
        <f>SUM(G792)</f>
        <v>1</v>
      </c>
      <c r="G792" s="104">
        <v>1</v>
      </c>
    </row>
    <row r="793" spans="1:7" x14ac:dyDescent="0.4">
      <c r="B793" s="182" t="s">
        <v>465</v>
      </c>
      <c r="C793" s="224" t="s">
        <v>464</v>
      </c>
      <c r="D793" s="157"/>
      <c r="E793" s="6">
        <v>32200</v>
      </c>
      <c r="F793" s="109">
        <f>SUM(G793)</f>
        <v>0</v>
      </c>
      <c r="G793" s="105">
        <v>0</v>
      </c>
    </row>
    <row r="794" spans="1:7" ht="19.5" customHeight="1" thickBot="1" x14ac:dyDescent="0.45">
      <c r="B794" s="183" t="s">
        <v>465</v>
      </c>
      <c r="C794" s="223" t="s">
        <v>136</v>
      </c>
      <c r="D794" s="158"/>
      <c r="E794" s="17">
        <v>32900</v>
      </c>
      <c r="F794" s="110">
        <f>SUM(G794)</f>
        <v>2</v>
      </c>
      <c r="G794" s="106">
        <v>2</v>
      </c>
    </row>
    <row r="795" spans="1:7" ht="19.5" customHeight="1" thickBot="1" x14ac:dyDescent="0.45"/>
    <row r="796" spans="1:7" x14ac:dyDescent="0.4">
      <c r="A796" s="8">
        <v>25</v>
      </c>
      <c r="B796" s="181" t="s">
        <v>466</v>
      </c>
      <c r="C796" s="216" t="s">
        <v>144</v>
      </c>
      <c r="D796" s="156"/>
      <c r="E796" s="13">
        <v>29990</v>
      </c>
      <c r="F796" s="108">
        <f>SUM(G796)</f>
        <v>1</v>
      </c>
      <c r="G796" s="104">
        <v>1</v>
      </c>
    </row>
    <row r="797" spans="1:7" x14ac:dyDescent="0.4">
      <c r="B797" s="182" t="s">
        <v>466</v>
      </c>
      <c r="C797" s="224" t="s">
        <v>141</v>
      </c>
      <c r="D797" s="157"/>
      <c r="E797" s="6">
        <v>38990</v>
      </c>
      <c r="F797" s="109">
        <f>SUM(G797)</f>
        <v>1</v>
      </c>
      <c r="G797" s="105">
        <v>1</v>
      </c>
    </row>
    <row r="798" spans="1:7" ht="19.5" customHeight="1" thickBot="1" x14ac:dyDescent="0.45">
      <c r="B798" s="183" t="s">
        <v>466</v>
      </c>
      <c r="C798" s="223" t="s">
        <v>145</v>
      </c>
      <c r="D798" s="158"/>
      <c r="E798" s="17">
        <v>33300</v>
      </c>
      <c r="F798" s="110">
        <f>SUM(G798)</f>
        <v>1</v>
      </c>
      <c r="G798" s="106">
        <v>1</v>
      </c>
    </row>
    <row r="799" spans="1:7" ht="19.5" customHeight="1" thickBot="1" x14ac:dyDescent="0.45"/>
    <row r="800" spans="1:7" x14ac:dyDescent="0.4">
      <c r="A800" s="8">
        <v>26</v>
      </c>
      <c r="B800" s="181" t="s">
        <v>467</v>
      </c>
      <c r="C800" s="216" t="s">
        <v>144</v>
      </c>
      <c r="D800" s="156"/>
      <c r="E800" s="13">
        <v>35800</v>
      </c>
      <c r="F800" s="108">
        <f>SUM(G800)</f>
        <v>1</v>
      </c>
      <c r="G800" s="104">
        <v>1</v>
      </c>
    </row>
    <row r="801" spans="1:7" ht="19.5" customHeight="1" thickBot="1" x14ac:dyDescent="0.45">
      <c r="B801" s="183" t="s">
        <v>467</v>
      </c>
      <c r="C801" s="223" t="s">
        <v>145</v>
      </c>
      <c r="D801" s="158"/>
      <c r="E801" s="17">
        <v>39900</v>
      </c>
      <c r="F801" s="110">
        <f>SUM(G801)</f>
        <v>0</v>
      </c>
      <c r="G801" s="106">
        <v>0</v>
      </c>
    </row>
    <row r="802" spans="1:7" ht="19.5" customHeight="1" thickBot="1" x14ac:dyDescent="0.45"/>
    <row r="803" spans="1:7" x14ac:dyDescent="0.4">
      <c r="A803" s="8">
        <v>27</v>
      </c>
      <c r="B803" s="181" t="s">
        <v>468</v>
      </c>
      <c r="C803" s="216" t="s">
        <v>144</v>
      </c>
      <c r="D803" s="156" t="s">
        <v>453</v>
      </c>
      <c r="E803" s="13">
        <v>24700</v>
      </c>
      <c r="F803" s="108">
        <f>SUM(G803)</f>
        <v>0</v>
      </c>
      <c r="G803" s="104">
        <v>0</v>
      </c>
    </row>
    <row r="804" spans="1:7" ht="19.5" customHeight="1" thickBot="1" x14ac:dyDescent="0.45">
      <c r="B804" s="183" t="s">
        <v>468</v>
      </c>
      <c r="C804" s="223" t="s">
        <v>145</v>
      </c>
      <c r="D804" s="158" t="s">
        <v>453</v>
      </c>
      <c r="E804" s="17">
        <v>27600</v>
      </c>
      <c r="F804" s="110">
        <f>SUM(G804)</f>
        <v>7</v>
      </c>
      <c r="G804" s="106">
        <v>7</v>
      </c>
    </row>
    <row r="805" spans="1:7" ht="19.5" customHeight="1" thickBot="1" x14ac:dyDescent="0.45"/>
    <row r="806" spans="1:7" x14ac:dyDescent="0.4">
      <c r="A806" s="8">
        <v>28</v>
      </c>
      <c r="B806" s="181" t="s">
        <v>469</v>
      </c>
      <c r="C806" s="216" t="s">
        <v>144</v>
      </c>
      <c r="D806" s="156"/>
      <c r="E806" s="13">
        <v>17800</v>
      </c>
      <c r="F806" s="108">
        <f>SUM(G806)</f>
        <v>2</v>
      </c>
      <c r="G806" s="104">
        <v>2</v>
      </c>
    </row>
    <row r="807" spans="1:7" ht="19.5" customHeight="1" thickBot="1" x14ac:dyDescent="0.45">
      <c r="B807" s="183" t="s">
        <v>469</v>
      </c>
      <c r="C807" s="223" t="s">
        <v>145</v>
      </c>
      <c r="D807" s="158"/>
      <c r="E807" s="17">
        <v>20700</v>
      </c>
      <c r="F807" s="110">
        <f>SUM(G807)</f>
        <v>5</v>
      </c>
      <c r="G807" s="106">
        <v>5</v>
      </c>
    </row>
    <row r="808" spans="1:7" ht="19.5" customHeight="1" thickBot="1" x14ac:dyDescent="0.45"/>
    <row r="809" spans="1:7" x14ac:dyDescent="0.4">
      <c r="A809" s="8">
        <v>29</v>
      </c>
      <c r="B809" s="181" t="s">
        <v>470</v>
      </c>
      <c r="C809" s="216" t="s">
        <v>144</v>
      </c>
      <c r="D809" s="156"/>
      <c r="E809" s="13">
        <v>22990</v>
      </c>
      <c r="F809" s="108">
        <f>SUM(G809)</f>
        <v>2</v>
      </c>
      <c r="G809" s="104">
        <v>2</v>
      </c>
    </row>
    <row r="810" spans="1:7" ht="19.5" customHeight="1" thickBot="1" x14ac:dyDescent="0.45">
      <c r="B810" s="183" t="s">
        <v>470</v>
      </c>
      <c r="C810" s="223" t="s">
        <v>145</v>
      </c>
      <c r="D810" s="158"/>
      <c r="E810" s="17">
        <v>24790</v>
      </c>
      <c r="F810" s="110">
        <f>SUM(G810)</f>
        <v>0</v>
      </c>
      <c r="G810" s="106">
        <v>0</v>
      </c>
    </row>
    <row r="811" spans="1:7" ht="19.5" customHeight="1" thickBot="1" x14ac:dyDescent="0.45"/>
    <row r="812" spans="1:7" x14ac:dyDescent="0.4">
      <c r="A812" s="8">
        <v>30</v>
      </c>
      <c r="B812" s="181" t="s">
        <v>471</v>
      </c>
      <c r="C812" s="216" t="s">
        <v>144</v>
      </c>
      <c r="D812" s="156" t="s">
        <v>461</v>
      </c>
      <c r="E812" s="13">
        <v>30450</v>
      </c>
      <c r="F812" s="108">
        <f>SUM(G812)</f>
        <v>2</v>
      </c>
      <c r="G812" s="104">
        <v>2</v>
      </c>
    </row>
    <row r="813" spans="1:7" ht="19.5" customHeight="1" thickBot="1" x14ac:dyDescent="0.45">
      <c r="B813" s="183" t="s">
        <v>471</v>
      </c>
      <c r="C813" s="223" t="s">
        <v>145</v>
      </c>
      <c r="D813" s="158"/>
      <c r="E813" s="17">
        <v>32750</v>
      </c>
      <c r="F813" s="110">
        <f>SUM(G813)</f>
        <v>0</v>
      </c>
      <c r="G813" s="106">
        <v>0</v>
      </c>
    </row>
    <row r="814" spans="1:7" ht="19.5" customHeight="1" thickBot="1" x14ac:dyDescent="0.45"/>
    <row r="815" spans="1:7" ht="19.5" thickBot="1" x14ac:dyDescent="0.45">
      <c r="A815" s="8">
        <v>31</v>
      </c>
      <c r="B815" s="193" t="s">
        <v>472</v>
      </c>
      <c r="C815" s="211" t="s">
        <v>144</v>
      </c>
      <c r="D815" s="167"/>
      <c r="E815" s="28">
        <v>35990</v>
      </c>
      <c r="F815" s="119">
        <f>SUM(G815)</f>
        <v>1</v>
      </c>
      <c r="G815" s="111">
        <v>1</v>
      </c>
    </row>
    <row r="816" spans="1:7" ht="19.5" customHeight="1" thickBot="1" x14ac:dyDescent="0.45"/>
    <row r="817" spans="1:7" ht="19.5" thickBot="1" x14ac:dyDescent="0.45">
      <c r="A817" s="8">
        <v>32</v>
      </c>
      <c r="B817" s="193" t="s">
        <v>473</v>
      </c>
      <c r="C817" s="211" t="s">
        <v>145</v>
      </c>
      <c r="D817" s="167" t="s">
        <v>703</v>
      </c>
      <c r="E817" s="28">
        <v>6753</v>
      </c>
      <c r="F817" s="119">
        <f>SUM(G817)</f>
        <v>1</v>
      </c>
      <c r="G817" s="111">
        <v>1</v>
      </c>
    </row>
    <row r="818" spans="1:7" ht="19.5" customHeight="1" thickBot="1" x14ac:dyDescent="0.45"/>
    <row r="819" spans="1:7" ht="19.5" thickBot="1" x14ac:dyDescent="0.45">
      <c r="A819" s="8">
        <v>33</v>
      </c>
      <c r="B819" s="193" t="s">
        <v>474</v>
      </c>
      <c r="C819" s="211" t="s">
        <v>144</v>
      </c>
      <c r="D819" s="167" t="s">
        <v>703</v>
      </c>
      <c r="E819" s="28">
        <v>6352</v>
      </c>
      <c r="F819" s="119">
        <f>SUM(G819)</f>
        <v>1</v>
      </c>
      <c r="G819" s="111">
        <v>1</v>
      </c>
    </row>
    <row r="820" spans="1:7" ht="19.5" customHeight="1" thickBot="1" x14ac:dyDescent="0.45"/>
    <row r="821" spans="1:7" ht="19.5" customHeight="1" thickBot="1" x14ac:dyDescent="0.45">
      <c r="A821" s="8">
        <v>34</v>
      </c>
      <c r="B821" s="189" t="s">
        <v>477</v>
      </c>
      <c r="C821" s="211" t="s">
        <v>145</v>
      </c>
      <c r="D821" s="167" t="s">
        <v>476</v>
      </c>
      <c r="E821" s="28">
        <v>44190</v>
      </c>
      <c r="F821" s="119">
        <f>SUM(G821)</f>
        <v>1</v>
      </c>
      <c r="G821" s="111">
        <v>1</v>
      </c>
    </row>
    <row r="822" spans="1:7" ht="19.5" customHeight="1" thickBot="1" x14ac:dyDescent="0.45"/>
    <row r="823" spans="1:7" ht="19.5" customHeight="1" thickBot="1" x14ac:dyDescent="0.45">
      <c r="A823" s="8">
        <v>1</v>
      </c>
      <c r="B823" s="193" t="s">
        <v>625</v>
      </c>
      <c r="C823" s="221" t="s">
        <v>162</v>
      </c>
      <c r="D823" s="167"/>
      <c r="E823" s="28">
        <v>36190</v>
      </c>
      <c r="F823" s="119">
        <f>SUM(G823)</f>
        <v>0</v>
      </c>
      <c r="G823" s="111">
        <v>0</v>
      </c>
    </row>
    <row r="824" spans="1:7" ht="19.5" customHeight="1" thickBot="1" x14ac:dyDescent="0.45"/>
    <row r="825" spans="1:7" ht="19.5" customHeight="1" thickBot="1" x14ac:dyDescent="0.45">
      <c r="A825" s="8">
        <v>2</v>
      </c>
      <c r="B825" s="193" t="s">
        <v>626</v>
      </c>
      <c r="C825" s="221" t="s">
        <v>163</v>
      </c>
      <c r="D825" s="167"/>
      <c r="E825" s="28">
        <v>47190</v>
      </c>
      <c r="F825" s="119">
        <f>SUM(G825)</f>
        <v>1</v>
      </c>
      <c r="G825" s="111">
        <v>1</v>
      </c>
    </row>
    <row r="826" spans="1:7" ht="19.5" customHeight="1" thickBot="1" x14ac:dyDescent="0.45"/>
    <row r="827" spans="1:7" ht="19.5" customHeight="1" thickBot="1" x14ac:dyDescent="0.45">
      <c r="A827" s="8">
        <v>3</v>
      </c>
      <c r="B827" s="193" t="s">
        <v>627</v>
      </c>
      <c r="C827" s="221" t="s">
        <v>165</v>
      </c>
      <c r="D827" s="167"/>
      <c r="E827" s="28">
        <v>49900</v>
      </c>
      <c r="F827" s="119">
        <f>SUM(G827)</f>
        <v>0</v>
      </c>
      <c r="G827" s="111">
        <v>0</v>
      </c>
    </row>
    <row r="828" spans="1:7" ht="19.5" customHeight="1" thickBot="1" x14ac:dyDescent="0.45"/>
    <row r="829" spans="1:7" ht="19.5" customHeight="1" thickBot="1" x14ac:dyDescent="0.45">
      <c r="A829" s="8">
        <v>4</v>
      </c>
      <c r="B829" s="193" t="s">
        <v>628</v>
      </c>
      <c r="C829" s="221" t="s">
        <v>166</v>
      </c>
      <c r="D829" s="167"/>
      <c r="E829" s="28">
        <v>26290</v>
      </c>
      <c r="F829" s="119">
        <f>SUM(G829)</f>
        <v>1</v>
      </c>
      <c r="G829" s="111">
        <v>1</v>
      </c>
    </row>
    <row r="830" spans="1:7" ht="19.5" customHeight="1" thickBot="1" x14ac:dyDescent="0.45"/>
    <row r="831" spans="1:7" ht="19.5" customHeight="1" thickBot="1" x14ac:dyDescent="0.45">
      <c r="A831" s="8">
        <v>5</v>
      </c>
      <c r="B831" s="193" t="s">
        <v>629</v>
      </c>
      <c r="C831" s="221" t="s">
        <v>162</v>
      </c>
      <c r="D831" s="167"/>
      <c r="E831" s="28">
        <v>27590</v>
      </c>
      <c r="F831" s="119">
        <f>SUM(G831)</f>
        <v>1</v>
      </c>
      <c r="G831" s="111">
        <v>1</v>
      </c>
    </row>
    <row r="832" spans="1:7" ht="19.5" customHeight="1" thickBot="1" x14ac:dyDescent="0.45"/>
    <row r="833" spans="1:7" ht="19.5" customHeight="1" thickBot="1" x14ac:dyDescent="0.45">
      <c r="A833" s="8">
        <v>6</v>
      </c>
      <c r="B833" s="193" t="s">
        <v>630</v>
      </c>
      <c r="C833" s="221" t="s">
        <v>167</v>
      </c>
      <c r="D833" s="167"/>
      <c r="E833" s="28">
        <v>24990</v>
      </c>
      <c r="F833" s="119">
        <f>SUM(G833)</f>
        <v>0</v>
      </c>
      <c r="G833" s="111">
        <v>0</v>
      </c>
    </row>
    <row r="834" spans="1:7" ht="19.5" customHeight="1" thickBot="1" x14ac:dyDescent="0.45"/>
    <row r="835" spans="1:7" ht="19.5" customHeight="1" thickBot="1" x14ac:dyDescent="0.45">
      <c r="A835" s="8">
        <v>7</v>
      </c>
      <c r="B835" s="193" t="s">
        <v>631</v>
      </c>
      <c r="C835" s="221" t="s">
        <v>162</v>
      </c>
      <c r="D835" s="167"/>
      <c r="E835" s="28">
        <v>30490</v>
      </c>
      <c r="F835" s="119">
        <f>SUM(G835)</f>
        <v>1</v>
      </c>
      <c r="G835" s="111">
        <v>1</v>
      </c>
    </row>
    <row r="836" spans="1:7" ht="19.5" customHeight="1" thickBot="1" x14ac:dyDescent="0.45"/>
    <row r="837" spans="1:7" ht="19.5" customHeight="1" thickBot="1" x14ac:dyDescent="0.45">
      <c r="A837" s="8">
        <v>8</v>
      </c>
      <c r="B837" s="193" t="s">
        <v>632</v>
      </c>
      <c r="C837" s="221" t="s">
        <v>163</v>
      </c>
      <c r="D837" s="167"/>
      <c r="E837" s="28">
        <v>35890</v>
      </c>
      <c r="F837" s="119">
        <f>SUM(G837)</f>
        <v>0</v>
      </c>
      <c r="G837" s="111">
        <v>0</v>
      </c>
    </row>
    <row r="838" spans="1:7" ht="19.5" customHeight="1" thickBot="1" x14ac:dyDescent="0.45"/>
    <row r="839" spans="1:7" ht="19.5" customHeight="1" thickBot="1" x14ac:dyDescent="0.45">
      <c r="A839" s="8">
        <v>9</v>
      </c>
      <c r="B839" s="193" t="s">
        <v>633</v>
      </c>
      <c r="C839" s="221" t="s">
        <v>166</v>
      </c>
      <c r="D839" s="167"/>
      <c r="E839" s="28">
        <v>27590</v>
      </c>
      <c r="F839" s="119">
        <f>SUM(G839)</f>
        <v>0</v>
      </c>
      <c r="G839" s="111">
        <v>0</v>
      </c>
    </row>
    <row r="840" spans="1:7" ht="19.5" customHeight="1" thickBot="1" x14ac:dyDescent="0.45"/>
    <row r="841" spans="1:7" ht="19.5" customHeight="1" thickBot="1" x14ac:dyDescent="0.45">
      <c r="A841" s="8">
        <v>10</v>
      </c>
      <c r="B841" s="193" t="s">
        <v>634</v>
      </c>
      <c r="C841" s="221" t="s">
        <v>166</v>
      </c>
      <c r="D841" s="167"/>
      <c r="E841" s="28">
        <v>26190</v>
      </c>
      <c r="F841" s="119">
        <f>SUM(G841)</f>
        <v>0</v>
      </c>
      <c r="G841" s="111">
        <v>0</v>
      </c>
    </row>
    <row r="842" spans="1:7" ht="19.5" customHeight="1" thickBot="1" x14ac:dyDescent="0.45"/>
    <row r="843" spans="1:7" ht="19.5" customHeight="1" thickBot="1" x14ac:dyDescent="0.45">
      <c r="A843" s="8">
        <v>11</v>
      </c>
      <c r="B843" s="193" t="s">
        <v>635</v>
      </c>
      <c r="C843" s="221" t="s">
        <v>162</v>
      </c>
      <c r="D843" s="167"/>
      <c r="E843" s="28">
        <v>30490</v>
      </c>
      <c r="F843" s="119">
        <f>SUM(G843)</f>
        <v>1</v>
      </c>
      <c r="G843" s="111">
        <v>1</v>
      </c>
    </row>
    <row r="844" spans="1:7" ht="19.5" customHeight="1" thickBot="1" x14ac:dyDescent="0.45"/>
    <row r="845" spans="1:7" ht="19.5" customHeight="1" thickBot="1" x14ac:dyDescent="0.45">
      <c r="A845" s="8">
        <v>12</v>
      </c>
      <c r="B845" s="193" t="s">
        <v>636</v>
      </c>
      <c r="C845" s="221" t="s">
        <v>162</v>
      </c>
      <c r="D845" s="167"/>
      <c r="E845" s="28">
        <v>31890</v>
      </c>
      <c r="F845" s="119">
        <f>SUM(G845)</f>
        <v>0</v>
      </c>
      <c r="G845" s="111">
        <v>0</v>
      </c>
    </row>
    <row r="846" spans="1:7" ht="19.5" customHeight="1" thickBot="1" x14ac:dyDescent="0.45"/>
    <row r="847" spans="1:7" ht="19.5" customHeight="1" thickBot="1" x14ac:dyDescent="0.45">
      <c r="A847" s="8">
        <v>13</v>
      </c>
      <c r="B847" s="193" t="s">
        <v>637</v>
      </c>
      <c r="C847" s="221" t="s">
        <v>166</v>
      </c>
      <c r="D847" s="167"/>
      <c r="E847" s="28">
        <v>38490</v>
      </c>
      <c r="F847" s="119">
        <f>SUM(G847)</f>
        <v>0</v>
      </c>
      <c r="G847" s="111">
        <v>0</v>
      </c>
    </row>
    <row r="848" spans="1:7" ht="19.5" customHeight="1" thickBot="1" x14ac:dyDescent="0.45"/>
    <row r="849" spans="1:7" ht="19.5" customHeight="1" thickBot="1" x14ac:dyDescent="0.45">
      <c r="A849" s="8">
        <v>14</v>
      </c>
      <c r="B849" s="193" t="s">
        <v>638</v>
      </c>
      <c r="C849" s="221" t="s">
        <v>162</v>
      </c>
      <c r="D849" s="167"/>
      <c r="E849" s="28">
        <v>42890</v>
      </c>
      <c r="F849" s="119">
        <f>SUM(G849)</f>
        <v>0</v>
      </c>
      <c r="G849" s="111">
        <v>0</v>
      </c>
    </row>
    <row r="850" spans="1:7" ht="19.5" customHeight="1" thickBot="1" x14ac:dyDescent="0.45"/>
    <row r="851" spans="1:7" ht="19.5" customHeight="1" thickBot="1" x14ac:dyDescent="0.45">
      <c r="A851" s="8">
        <v>15</v>
      </c>
      <c r="B851" s="193" t="s">
        <v>639</v>
      </c>
      <c r="C851" s="221" t="s">
        <v>171</v>
      </c>
      <c r="D851" s="167"/>
      <c r="E851" s="28">
        <v>49790</v>
      </c>
      <c r="F851" s="119">
        <f>SUM(G851)</f>
        <v>1</v>
      </c>
      <c r="G851" s="111">
        <v>1</v>
      </c>
    </row>
    <row r="852" spans="1:7" ht="19.5" customHeight="1" thickBot="1" x14ac:dyDescent="0.45"/>
    <row r="853" spans="1:7" ht="19.5" customHeight="1" thickBot="1" x14ac:dyDescent="0.45">
      <c r="A853" s="8">
        <v>16</v>
      </c>
      <c r="B853" s="193" t="s">
        <v>640</v>
      </c>
      <c r="C853" s="221" t="s">
        <v>163</v>
      </c>
      <c r="D853" s="167"/>
      <c r="E853" s="28">
        <v>52690</v>
      </c>
      <c r="F853" s="119">
        <f>SUM(G853)</f>
        <v>1</v>
      </c>
      <c r="G853" s="111">
        <v>1</v>
      </c>
    </row>
    <row r="854" spans="1:7" ht="19.5" customHeight="1" thickBot="1" x14ac:dyDescent="0.45"/>
    <row r="855" spans="1:7" s="150" customFormat="1" ht="24.75" customHeight="1" thickBot="1" x14ac:dyDescent="0.45">
      <c r="A855" s="146">
        <v>18</v>
      </c>
      <c r="B855" s="194" t="s">
        <v>641</v>
      </c>
      <c r="C855" s="222" t="s">
        <v>173</v>
      </c>
      <c r="D855" s="171"/>
      <c r="E855" s="147">
        <v>169990</v>
      </c>
      <c r="F855" s="148">
        <f>SUM(G855)</f>
        <v>1</v>
      </c>
      <c r="G855" s="149">
        <v>1</v>
      </c>
    </row>
    <row r="856" spans="1:7" ht="19.5" customHeight="1" thickBot="1" x14ac:dyDescent="0.45">
      <c r="B856" s="198"/>
    </row>
    <row r="857" spans="1:7" s="150" customFormat="1" ht="25.5" customHeight="1" thickBot="1" x14ac:dyDescent="0.45">
      <c r="A857" s="146">
        <v>19</v>
      </c>
      <c r="B857" s="194" t="s">
        <v>642</v>
      </c>
      <c r="C857" s="222" t="s">
        <v>166</v>
      </c>
      <c r="D857" s="171" t="s">
        <v>219</v>
      </c>
      <c r="E857" s="147">
        <v>11990</v>
      </c>
      <c r="F857" s="148">
        <f>SUM(G857)</f>
        <v>1</v>
      </c>
      <c r="G857" s="149">
        <v>1</v>
      </c>
    </row>
    <row r="858" spans="1:7" ht="19.5" customHeight="1" thickBot="1" x14ac:dyDescent="0.45">
      <c r="B858" s="198"/>
    </row>
    <row r="859" spans="1:7" s="150" customFormat="1" ht="24.75" customHeight="1" thickBot="1" x14ac:dyDescent="0.45">
      <c r="A859" s="146">
        <v>20</v>
      </c>
      <c r="B859" s="194" t="s">
        <v>643</v>
      </c>
      <c r="C859" s="222" t="s">
        <v>162</v>
      </c>
      <c r="D859" s="171" t="s">
        <v>219</v>
      </c>
      <c r="E859" s="147">
        <v>13400</v>
      </c>
      <c r="F859" s="148">
        <f>SUM(G859)</f>
        <v>1</v>
      </c>
      <c r="G859" s="149">
        <v>1</v>
      </c>
    </row>
    <row r="860" spans="1:7" ht="19.5" customHeight="1" thickBot="1" x14ac:dyDescent="0.45">
      <c r="B860" s="198"/>
    </row>
    <row r="861" spans="1:7" s="150" customFormat="1" ht="25.5" customHeight="1" thickBot="1" x14ac:dyDescent="0.45">
      <c r="A861" s="146">
        <v>21</v>
      </c>
      <c r="B861" s="194" t="s">
        <v>613</v>
      </c>
      <c r="C861" s="222" t="s">
        <v>162</v>
      </c>
      <c r="D861" s="171"/>
      <c r="E861" s="147"/>
      <c r="F861" s="148">
        <f>SUM(G861)</f>
        <v>2</v>
      </c>
      <c r="G861" s="149">
        <v>2</v>
      </c>
    </row>
    <row r="862" spans="1:7" ht="19.5" customHeight="1" thickBot="1" x14ac:dyDescent="0.45">
      <c r="B862" s="198"/>
    </row>
    <row r="863" spans="1:7" s="150" customFormat="1" ht="29.25" customHeight="1" thickBot="1" x14ac:dyDescent="0.45">
      <c r="A863" s="146">
        <v>22</v>
      </c>
      <c r="B863" s="194" t="s">
        <v>644</v>
      </c>
      <c r="C863" s="222" t="s">
        <v>176</v>
      </c>
      <c r="D863" s="171"/>
      <c r="E863" s="147">
        <v>60190</v>
      </c>
      <c r="F863" s="148">
        <f>SUM(G863)</f>
        <v>0</v>
      </c>
      <c r="G863" s="149">
        <v>0</v>
      </c>
    </row>
    <row r="864" spans="1:7" ht="19.5" customHeight="1" thickBot="1" x14ac:dyDescent="0.45"/>
    <row r="865" spans="1:7" s="150" customFormat="1" ht="27" customHeight="1" thickBot="1" x14ac:dyDescent="0.45">
      <c r="A865" s="146">
        <v>23</v>
      </c>
      <c r="B865" s="194" t="s">
        <v>645</v>
      </c>
      <c r="C865" s="222" t="s">
        <v>177</v>
      </c>
      <c r="D865" s="171"/>
      <c r="E865" s="147">
        <v>41990</v>
      </c>
      <c r="F865" s="148">
        <f>SUM(G865)</f>
        <v>0</v>
      </c>
      <c r="G865" s="149">
        <v>0</v>
      </c>
    </row>
    <row r="866" spans="1:7" ht="19.5" customHeight="1" thickBot="1" x14ac:dyDescent="0.45"/>
    <row r="867" spans="1:7" ht="19.5" customHeight="1" thickBot="1" x14ac:dyDescent="0.45">
      <c r="A867" s="8">
        <v>24</v>
      </c>
      <c r="B867" s="193" t="s">
        <v>646</v>
      </c>
      <c r="C867" s="221" t="s">
        <v>166</v>
      </c>
      <c r="D867" s="167"/>
      <c r="E867" s="28">
        <v>17990</v>
      </c>
      <c r="F867" s="119">
        <f>SUM(G867)</f>
        <v>1</v>
      </c>
      <c r="G867" s="111">
        <v>1</v>
      </c>
    </row>
    <row r="868" spans="1:7" ht="19.5" customHeight="1" thickBot="1" x14ac:dyDescent="0.45"/>
    <row r="869" spans="1:7" ht="19.5" customHeight="1" thickBot="1" x14ac:dyDescent="0.45">
      <c r="A869" s="8">
        <v>25</v>
      </c>
      <c r="B869" s="193" t="s">
        <v>647</v>
      </c>
      <c r="C869" s="221" t="s">
        <v>162</v>
      </c>
      <c r="D869" s="167"/>
      <c r="E869" s="28">
        <v>19990</v>
      </c>
      <c r="F869" s="119">
        <f>SUM(G869)</f>
        <v>4</v>
      </c>
      <c r="G869" s="111">
        <v>4</v>
      </c>
    </row>
    <row r="870" spans="1:7" ht="19.5" customHeight="1" thickBot="1" x14ac:dyDescent="0.45"/>
    <row r="871" spans="1:7" ht="19.5" customHeight="1" thickBot="1" x14ac:dyDescent="0.45">
      <c r="A871" s="8">
        <v>26</v>
      </c>
      <c r="B871" s="193" t="s">
        <v>648</v>
      </c>
      <c r="C871" s="221" t="s">
        <v>166</v>
      </c>
      <c r="D871" s="167"/>
      <c r="E871" s="28">
        <v>14900</v>
      </c>
      <c r="F871" s="119">
        <f>SUM(G871)</f>
        <v>3</v>
      </c>
      <c r="G871" s="111">
        <v>3</v>
      </c>
    </row>
    <row r="872" spans="1:7" ht="19.5" customHeight="1" thickBot="1" x14ac:dyDescent="0.45"/>
    <row r="873" spans="1:7" ht="19.5" customHeight="1" thickBot="1" x14ac:dyDescent="0.45">
      <c r="A873" s="8">
        <v>27</v>
      </c>
      <c r="B873" s="193" t="s">
        <v>649</v>
      </c>
      <c r="C873" s="221" t="s">
        <v>171</v>
      </c>
      <c r="D873" s="167"/>
      <c r="E873" s="28">
        <v>16990</v>
      </c>
      <c r="F873" s="119">
        <f>SUM(G873)</f>
        <v>0</v>
      </c>
      <c r="G873" s="111">
        <v>0</v>
      </c>
    </row>
    <row r="874" spans="1:7" ht="19.5" customHeight="1" thickBot="1" x14ac:dyDescent="0.45"/>
    <row r="875" spans="1:7" ht="19.5" customHeight="1" thickBot="1" x14ac:dyDescent="0.45">
      <c r="A875" s="8">
        <v>28</v>
      </c>
      <c r="B875" s="193" t="s">
        <v>650</v>
      </c>
      <c r="C875" s="221" t="s">
        <v>166</v>
      </c>
      <c r="D875" s="167"/>
      <c r="E875" s="28">
        <v>20790</v>
      </c>
      <c r="F875" s="119">
        <f>SUM(G875)</f>
        <v>1</v>
      </c>
      <c r="G875" s="111">
        <v>1</v>
      </c>
    </row>
    <row r="876" spans="1:7" ht="19.5" customHeight="1" thickBot="1" x14ac:dyDescent="0.45"/>
    <row r="877" spans="1:7" ht="19.5" customHeight="1" thickBot="1" x14ac:dyDescent="0.45">
      <c r="A877" s="8">
        <v>29</v>
      </c>
      <c r="B877" s="193" t="s">
        <v>651</v>
      </c>
      <c r="C877" s="221" t="s">
        <v>166</v>
      </c>
      <c r="D877" s="167"/>
      <c r="E877" s="28">
        <v>19490</v>
      </c>
      <c r="F877" s="119">
        <f>SUM(G877)</f>
        <v>0</v>
      </c>
      <c r="G877" s="111">
        <v>0</v>
      </c>
    </row>
    <row r="878" spans="1:7" ht="19.5" customHeight="1" thickBot="1" x14ac:dyDescent="0.45"/>
    <row r="879" spans="1:7" ht="19.5" customHeight="1" thickBot="1" x14ac:dyDescent="0.45">
      <c r="A879" s="8">
        <v>30</v>
      </c>
      <c r="B879" s="193" t="s">
        <v>652</v>
      </c>
      <c r="C879" s="221" t="s">
        <v>171</v>
      </c>
      <c r="D879" s="167"/>
      <c r="E879" s="28">
        <v>23190</v>
      </c>
      <c r="F879" s="119">
        <f>SUM(G879)</f>
        <v>1</v>
      </c>
      <c r="G879" s="111">
        <v>1</v>
      </c>
    </row>
    <row r="880" spans="1:7" ht="19.5" customHeight="1" thickBot="1" x14ac:dyDescent="0.45"/>
    <row r="881" spans="1:7" ht="19.5" customHeight="1" thickBot="1" x14ac:dyDescent="0.45">
      <c r="A881" s="8">
        <v>31</v>
      </c>
      <c r="B881" s="193" t="s">
        <v>653</v>
      </c>
      <c r="C881" s="221" t="s">
        <v>171</v>
      </c>
      <c r="D881" s="167"/>
      <c r="E881" s="28">
        <v>28090</v>
      </c>
      <c r="F881" s="119">
        <f>SUM(G881)</f>
        <v>0</v>
      </c>
      <c r="G881" s="111">
        <v>0</v>
      </c>
    </row>
    <row r="882" spans="1:7" ht="19.5" customHeight="1" thickBot="1" x14ac:dyDescent="0.45"/>
    <row r="883" spans="1:7" ht="19.5" customHeight="1" thickBot="1" x14ac:dyDescent="0.45">
      <c r="A883" s="8">
        <v>32</v>
      </c>
      <c r="B883" s="193" t="s">
        <v>654</v>
      </c>
      <c r="C883" s="221" t="s">
        <v>171</v>
      </c>
      <c r="D883" s="167"/>
      <c r="E883" s="28">
        <v>21990</v>
      </c>
      <c r="F883" s="119">
        <f>SUM(G883)</f>
        <v>2</v>
      </c>
      <c r="G883" s="111">
        <v>2</v>
      </c>
    </row>
    <row r="884" spans="1:7" ht="19.5" customHeight="1" thickBot="1" x14ac:dyDescent="0.45"/>
    <row r="885" spans="1:7" ht="19.5" customHeight="1" thickBot="1" x14ac:dyDescent="0.45">
      <c r="A885" s="8">
        <v>33</v>
      </c>
      <c r="B885" s="193" t="s">
        <v>655</v>
      </c>
      <c r="C885" s="221" t="s">
        <v>166</v>
      </c>
      <c r="D885" s="167" t="s">
        <v>483</v>
      </c>
      <c r="E885" s="28">
        <v>10290</v>
      </c>
      <c r="F885" s="119">
        <f>SUM(G885)</f>
        <v>1</v>
      </c>
      <c r="G885" s="111">
        <v>1</v>
      </c>
    </row>
    <row r="886" spans="1:7" ht="19.5" customHeight="1" thickBot="1" x14ac:dyDescent="0.45"/>
    <row r="887" spans="1:7" ht="19.5" customHeight="1" thickBot="1" x14ac:dyDescent="0.45">
      <c r="A887" s="8">
        <v>34</v>
      </c>
      <c r="B887" s="193" t="s">
        <v>501</v>
      </c>
      <c r="C887" s="221" t="s">
        <v>171</v>
      </c>
      <c r="D887" s="167"/>
      <c r="E887" s="28">
        <v>17290</v>
      </c>
      <c r="F887" s="119">
        <f>SUM(G887)</f>
        <v>1</v>
      </c>
      <c r="G887" s="111">
        <v>1</v>
      </c>
    </row>
    <row r="888" spans="1:7" ht="19.5" customHeight="1" thickBot="1" x14ac:dyDescent="0.45"/>
    <row r="889" spans="1:7" ht="19.5" customHeight="1" thickBot="1" x14ac:dyDescent="0.45">
      <c r="A889" s="8">
        <v>35</v>
      </c>
      <c r="B889" s="193" t="s">
        <v>502</v>
      </c>
      <c r="C889" s="221" t="s">
        <v>166</v>
      </c>
      <c r="D889" s="167"/>
      <c r="E889" s="28">
        <v>15190</v>
      </c>
      <c r="F889" s="119">
        <f>SUM(G889)</f>
        <v>1</v>
      </c>
      <c r="G889" s="111">
        <v>1</v>
      </c>
    </row>
    <row r="890" spans="1:7" ht="19.5" customHeight="1" thickBot="1" x14ac:dyDescent="0.45"/>
    <row r="891" spans="1:7" ht="19.5" customHeight="1" thickBot="1" x14ac:dyDescent="0.45">
      <c r="A891" s="8">
        <v>36</v>
      </c>
      <c r="B891" s="189" t="s">
        <v>688</v>
      </c>
      <c r="C891" s="211" t="s">
        <v>145</v>
      </c>
      <c r="D891" s="167"/>
      <c r="E891" s="28">
        <v>80385</v>
      </c>
      <c r="F891" s="119">
        <f>SUM(G891)</f>
        <v>1</v>
      </c>
      <c r="G891" s="111">
        <v>1</v>
      </c>
    </row>
    <row r="892" spans="1:7" ht="19.5" customHeight="1" thickBot="1" x14ac:dyDescent="0.45"/>
    <row r="893" spans="1:7" ht="19.5" customHeight="1" x14ac:dyDescent="0.4">
      <c r="A893" s="8">
        <v>37</v>
      </c>
      <c r="B893" s="181" t="s">
        <v>603</v>
      </c>
      <c r="C893" s="216" t="s">
        <v>166</v>
      </c>
      <c r="D893" s="156"/>
      <c r="E893" s="13">
        <v>29990</v>
      </c>
      <c r="F893" s="108">
        <f>SUM(G893)</f>
        <v>1</v>
      </c>
      <c r="G893" s="104">
        <v>1</v>
      </c>
    </row>
    <row r="894" spans="1:7" ht="19.5" customHeight="1" x14ac:dyDescent="0.4">
      <c r="B894" s="182" t="s">
        <v>604</v>
      </c>
      <c r="C894" s="224" t="s">
        <v>162</v>
      </c>
      <c r="D894" s="157"/>
      <c r="E894" s="6">
        <v>33990</v>
      </c>
      <c r="F894" s="109">
        <f t="shared" ref="F894:F895" si="44">SUM(G894)</f>
        <v>2</v>
      </c>
      <c r="G894" s="105">
        <v>2</v>
      </c>
    </row>
    <row r="895" spans="1:7" ht="19.5" customHeight="1" thickBot="1" x14ac:dyDescent="0.45">
      <c r="B895" s="183" t="s">
        <v>605</v>
      </c>
      <c r="C895" s="223" t="s">
        <v>162</v>
      </c>
      <c r="D895" s="158"/>
      <c r="E895" s="17">
        <v>31990</v>
      </c>
      <c r="F895" s="110">
        <f t="shared" si="44"/>
        <v>1</v>
      </c>
      <c r="G895" s="106">
        <v>1</v>
      </c>
    </row>
    <row r="896" spans="1:7" ht="19.5" customHeight="1" thickBot="1" x14ac:dyDescent="0.45"/>
    <row r="897" spans="1:7" ht="19.5" customHeight="1" x14ac:dyDescent="0.4">
      <c r="A897" s="8">
        <v>38</v>
      </c>
      <c r="B897" s="181" t="s">
        <v>689</v>
      </c>
      <c r="C897" s="216" t="s">
        <v>162</v>
      </c>
      <c r="D897" s="156"/>
      <c r="E897" s="13">
        <v>28090</v>
      </c>
      <c r="F897" s="108">
        <f>SUM(G897)</f>
        <v>0</v>
      </c>
      <c r="G897" s="104">
        <v>0</v>
      </c>
    </row>
    <row r="898" spans="1:7" ht="19.5" customHeight="1" x14ac:dyDescent="0.4">
      <c r="B898" s="182" t="s">
        <v>690</v>
      </c>
      <c r="C898" s="224" t="s">
        <v>163</v>
      </c>
      <c r="D898" s="157"/>
      <c r="E898" s="6">
        <v>31690</v>
      </c>
      <c r="F898" s="109">
        <f t="shared" ref="F898:F901" si="45">SUM(G898)</f>
        <v>0</v>
      </c>
      <c r="G898" s="105">
        <v>0</v>
      </c>
    </row>
    <row r="899" spans="1:7" ht="19.5" customHeight="1" x14ac:dyDescent="0.4">
      <c r="B899" s="182" t="s">
        <v>602</v>
      </c>
      <c r="C899" s="224" t="s">
        <v>162</v>
      </c>
      <c r="D899" s="157"/>
      <c r="E899" s="6">
        <v>35390</v>
      </c>
      <c r="F899" s="109">
        <f t="shared" si="45"/>
        <v>2</v>
      </c>
      <c r="G899" s="105">
        <v>2</v>
      </c>
    </row>
    <row r="900" spans="1:7" ht="19.5" customHeight="1" x14ac:dyDescent="0.4">
      <c r="B900" s="182" t="s">
        <v>691</v>
      </c>
      <c r="C900" s="224" t="s">
        <v>166</v>
      </c>
      <c r="D900" s="157"/>
      <c r="E900" s="6">
        <v>20790</v>
      </c>
      <c r="F900" s="109">
        <f t="shared" si="45"/>
        <v>0</v>
      </c>
      <c r="G900" s="105">
        <v>0</v>
      </c>
    </row>
    <row r="901" spans="1:7" ht="19.5" customHeight="1" thickBot="1" x14ac:dyDescent="0.45">
      <c r="B901" s="183" t="s">
        <v>692</v>
      </c>
      <c r="C901" s="223" t="s">
        <v>162</v>
      </c>
      <c r="D901" s="158"/>
      <c r="E901" s="17">
        <v>23190</v>
      </c>
      <c r="F901" s="110">
        <f t="shared" si="45"/>
        <v>0</v>
      </c>
      <c r="G901" s="106">
        <v>0</v>
      </c>
    </row>
    <row r="902" spans="1:7" ht="19.5" customHeight="1" thickBot="1" x14ac:dyDescent="0.45"/>
    <row r="903" spans="1:7" ht="19.5" customHeight="1" thickBot="1" x14ac:dyDescent="0.45">
      <c r="A903" s="8">
        <v>39</v>
      </c>
      <c r="B903" s="189" t="s">
        <v>693</v>
      </c>
      <c r="C903" s="211" t="s">
        <v>694</v>
      </c>
      <c r="D903" s="167"/>
      <c r="E903" s="28"/>
      <c r="F903" s="119">
        <f>SUM(G903)</f>
        <v>1</v>
      </c>
      <c r="G903" s="111">
        <v>1</v>
      </c>
    </row>
    <row r="904" spans="1:7" ht="19.5" customHeight="1" thickBot="1" x14ac:dyDescent="0.45"/>
    <row r="905" spans="1:7" ht="19.5" customHeight="1" thickBot="1" x14ac:dyDescent="0.45">
      <c r="A905" s="8">
        <v>1</v>
      </c>
      <c r="B905" s="193" t="s">
        <v>656</v>
      </c>
      <c r="C905" s="221" t="s">
        <v>166</v>
      </c>
      <c r="D905" s="167" t="s">
        <v>183</v>
      </c>
      <c r="E905" s="28">
        <v>71690</v>
      </c>
      <c r="F905" s="119">
        <f>SUM(G905)</f>
        <v>1</v>
      </c>
      <c r="G905" s="111">
        <v>1</v>
      </c>
    </row>
    <row r="906" spans="1:7" ht="19.5" customHeight="1" thickBot="1" x14ac:dyDescent="0.45"/>
    <row r="907" spans="1:7" ht="19.5" customHeight="1" thickBot="1" x14ac:dyDescent="0.45">
      <c r="A907" s="8">
        <v>2</v>
      </c>
      <c r="B907" s="193" t="s">
        <v>657</v>
      </c>
      <c r="C907" s="221" t="s">
        <v>166</v>
      </c>
      <c r="D907" s="167" t="s">
        <v>184</v>
      </c>
      <c r="E907" s="28">
        <v>58390</v>
      </c>
      <c r="F907" s="119">
        <f>SUM(G907)</f>
        <v>2</v>
      </c>
      <c r="G907" s="111">
        <v>2</v>
      </c>
    </row>
    <row r="908" spans="1:7" ht="19.5" customHeight="1" thickBot="1" x14ac:dyDescent="0.45"/>
    <row r="909" spans="1:7" ht="19.5" customHeight="1" thickBot="1" x14ac:dyDescent="0.45">
      <c r="A909" s="8">
        <v>3</v>
      </c>
      <c r="B909" s="193" t="s">
        <v>658</v>
      </c>
      <c r="C909" s="221" t="s">
        <v>166</v>
      </c>
      <c r="D909" s="167" t="s">
        <v>185</v>
      </c>
      <c r="E909" s="28">
        <v>63790</v>
      </c>
      <c r="F909" s="119">
        <f>SUM(G909)</f>
        <v>1</v>
      </c>
      <c r="G909" s="111">
        <v>1</v>
      </c>
    </row>
    <row r="910" spans="1:7" ht="19.5" customHeight="1" thickBot="1" x14ac:dyDescent="0.45"/>
    <row r="911" spans="1:7" ht="19.5" customHeight="1" thickBot="1" x14ac:dyDescent="0.45">
      <c r="A911" s="8">
        <v>4</v>
      </c>
      <c r="B911" s="193" t="s">
        <v>622</v>
      </c>
      <c r="C911" s="221" t="s">
        <v>166</v>
      </c>
      <c r="D911" s="167" t="s">
        <v>186</v>
      </c>
      <c r="E911" s="28">
        <v>32990</v>
      </c>
      <c r="F911" s="119">
        <f>SUM(G911)</f>
        <v>1</v>
      </c>
      <c r="G911" s="111">
        <v>1</v>
      </c>
    </row>
    <row r="912" spans="1:7" ht="19.5" customHeight="1" thickBot="1" x14ac:dyDescent="0.45"/>
    <row r="913" spans="1:7" ht="19.5" customHeight="1" thickBot="1" x14ac:dyDescent="0.45">
      <c r="A913" s="8">
        <v>5</v>
      </c>
      <c r="B913" s="193" t="s">
        <v>623</v>
      </c>
      <c r="C913" s="221" t="s">
        <v>751</v>
      </c>
      <c r="D913" s="167"/>
      <c r="E913" s="28">
        <v>86390</v>
      </c>
      <c r="F913" s="119">
        <f>SUM(G913)</f>
        <v>0</v>
      </c>
      <c r="G913" s="111">
        <v>0</v>
      </c>
    </row>
    <row r="914" spans="1:7" ht="19.5" customHeight="1" thickBot="1" x14ac:dyDescent="0.45"/>
    <row r="915" spans="1:7" ht="19.5" customHeight="1" thickBot="1" x14ac:dyDescent="0.45">
      <c r="A915" s="8">
        <v>6</v>
      </c>
      <c r="B915" s="193" t="s">
        <v>624</v>
      </c>
      <c r="C915" s="221" t="s">
        <v>751</v>
      </c>
      <c r="D915" s="167"/>
      <c r="E915" s="28">
        <v>64890</v>
      </c>
      <c r="F915" s="119">
        <f>SUM(G915)</f>
        <v>0</v>
      </c>
      <c r="G915" s="111">
        <v>0</v>
      </c>
    </row>
    <row r="916" spans="1:7" ht="19.5" customHeight="1" thickBot="1" x14ac:dyDescent="0.45"/>
    <row r="917" spans="1:7" ht="19.5" customHeight="1" thickBot="1" x14ac:dyDescent="0.45">
      <c r="A917" s="8">
        <v>7</v>
      </c>
      <c r="B917" s="193" t="s">
        <v>738</v>
      </c>
      <c r="C917" s="221" t="s">
        <v>744</v>
      </c>
      <c r="D917" s="167"/>
      <c r="E917" s="28">
        <v>65790</v>
      </c>
      <c r="F917" s="119">
        <f>SUM(G917)</f>
        <v>0</v>
      </c>
      <c r="G917" s="111">
        <v>0</v>
      </c>
    </row>
    <row r="918" spans="1:7" ht="19.5" customHeight="1" thickBot="1" x14ac:dyDescent="0.45"/>
    <row r="919" spans="1:7" ht="19.5" customHeight="1" thickBot="1" x14ac:dyDescent="0.45">
      <c r="A919" s="8">
        <v>8</v>
      </c>
      <c r="B919" s="193" t="s">
        <v>739</v>
      </c>
      <c r="C919" s="221" t="s">
        <v>744</v>
      </c>
      <c r="D919" s="167"/>
      <c r="E919" s="28">
        <v>58390</v>
      </c>
      <c r="F919" s="119">
        <f>SUM(G919)</f>
        <v>2</v>
      </c>
      <c r="G919" s="111">
        <v>2</v>
      </c>
    </row>
    <row r="920" spans="1:7" ht="19.5" customHeight="1" thickBot="1" x14ac:dyDescent="0.45"/>
    <row r="921" spans="1:7" ht="19.5" customHeight="1" thickBot="1" x14ac:dyDescent="0.45">
      <c r="A921" s="8">
        <v>9</v>
      </c>
      <c r="B921" s="193" t="s">
        <v>740</v>
      </c>
      <c r="C921" s="221" t="s">
        <v>744</v>
      </c>
      <c r="D921" s="167"/>
      <c r="E921" s="28">
        <v>89990</v>
      </c>
      <c r="F921" s="119">
        <f>SUM(G921)</f>
        <v>1</v>
      </c>
      <c r="G921" s="111">
        <v>1</v>
      </c>
    </row>
    <row r="922" spans="1:7" ht="19.5" customHeight="1" thickBot="1" x14ac:dyDescent="0.45"/>
    <row r="923" spans="1:7" ht="19.5" customHeight="1" thickBot="1" x14ac:dyDescent="0.45">
      <c r="A923" s="8">
        <v>10</v>
      </c>
      <c r="B923" s="193" t="s">
        <v>741</v>
      </c>
      <c r="C923" s="221" t="s">
        <v>745</v>
      </c>
      <c r="D923" s="167"/>
      <c r="E923" s="28">
        <v>82590</v>
      </c>
      <c r="F923" s="119">
        <f>SUM(G923)</f>
        <v>1</v>
      </c>
      <c r="G923" s="111">
        <v>1</v>
      </c>
    </row>
    <row r="924" spans="1:7" ht="19.5" customHeight="1" thickBot="1" x14ac:dyDescent="0.45"/>
    <row r="925" spans="1:7" ht="19.5" customHeight="1" thickBot="1" x14ac:dyDescent="0.45">
      <c r="A925" s="8">
        <v>11</v>
      </c>
      <c r="B925" s="193" t="s">
        <v>742</v>
      </c>
      <c r="C925" s="221" t="s">
        <v>746</v>
      </c>
      <c r="D925" s="167"/>
      <c r="E925" s="28">
        <v>117890</v>
      </c>
      <c r="F925" s="119">
        <f>SUM(G925)</f>
        <v>0</v>
      </c>
      <c r="G925" s="111">
        <v>0</v>
      </c>
    </row>
    <row r="926" spans="1:7" ht="19.5" customHeight="1" thickBot="1" x14ac:dyDescent="0.45"/>
    <row r="927" spans="1:7" ht="19.5" customHeight="1" thickBot="1" x14ac:dyDescent="0.45">
      <c r="A927" s="8">
        <v>12</v>
      </c>
      <c r="B927" s="193" t="s">
        <v>743</v>
      </c>
      <c r="C927" s="221" t="s">
        <v>745</v>
      </c>
      <c r="D927" s="167"/>
      <c r="E927" s="28">
        <v>124890</v>
      </c>
      <c r="F927" s="119">
        <f>SUM(G927)</f>
        <v>0</v>
      </c>
      <c r="G927" s="111">
        <v>0</v>
      </c>
    </row>
    <row r="928" spans="1:7" ht="19.5" customHeight="1" thickBot="1" x14ac:dyDescent="0.45"/>
    <row r="929" spans="1:7" ht="19.5" customHeight="1" thickBot="1" x14ac:dyDescent="0.45">
      <c r="A929" s="8">
        <v>13</v>
      </c>
      <c r="B929" s="193" t="s">
        <v>747</v>
      </c>
      <c r="C929" s="221" t="s">
        <v>750</v>
      </c>
      <c r="D929" s="167"/>
      <c r="E929" s="28">
        <v>46490</v>
      </c>
      <c r="F929" s="119">
        <f>SUM(G929)</f>
        <v>0</v>
      </c>
      <c r="G929" s="111">
        <v>0</v>
      </c>
    </row>
    <row r="930" spans="1:7" ht="19.5" customHeight="1" thickBot="1" x14ac:dyDescent="0.45"/>
    <row r="931" spans="1:7" ht="19.5" customHeight="1" thickBot="1" x14ac:dyDescent="0.45">
      <c r="A931" s="8">
        <v>14</v>
      </c>
      <c r="B931" s="193" t="s">
        <v>748</v>
      </c>
      <c r="C931" s="221" t="s">
        <v>750</v>
      </c>
      <c r="D931" s="167"/>
      <c r="E931" s="28">
        <v>40690</v>
      </c>
      <c r="F931" s="119">
        <f>SUM(G931)</f>
        <v>1</v>
      </c>
      <c r="G931" s="111">
        <v>1</v>
      </c>
    </row>
    <row r="932" spans="1:7" ht="19.5" customHeight="1" thickBot="1" x14ac:dyDescent="0.45"/>
    <row r="933" spans="1:7" ht="19.5" customHeight="1" thickBot="1" x14ac:dyDescent="0.45">
      <c r="A933" s="8">
        <v>15</v>
      </c>
      <c r="B933" s="193" t="s">
        <v>749</v>
      </c>
      <c r="C933" s="221"/>
      <c r="D933" s="167"/>
      <c r="E933" s="28">
        <v>69990</v>
      </c>
      <c r="F933" s="119">
        <f>SUM(G933)</f>
        <v>1</v>
      </c>
      <c r="G933" s="111">
        <v>1</v>
      </c>
    </row>
    <row r="934" spans="1:7" ht="18" customHeight="1" thickBot="1" x14ac:dyDescent="0.45"/>
    <row r="935" spans="1:7" s="150" customFormat="1" ht="27" customHeight="1" thickBot="1" x14ac:dyDescent="0.45">
      <c r="A935" s="146">
        <v>16</v>
      </c>
      <c r="B935" s="199" t="s">
        <v>297</v>
      </c>
      <c r="C935" s="222"/>
      <c r="D935" s="171"/>
      <c r="E935" s="147">
        <v>41990</v>
      </c>
      <c r="F935" s="148">
        <f>SUM(G935)</f>
        <v>0</v>
      </c>
      <c r="G935" s="149">
        <v>0</v>
      </c>
    </row>
    <row r="936" spans="1:7" ht="19.5" customHeight="1" thickBot="1" x14ac:dyDescent="0.45"/>
    <row r="937" spans="1:7" s="150" customFormat="1" ht="28.5" customHeight="1" thickBot="1" x14ac:dyDescent="0.45">
      <c r="A937" s="146">
        <v>1</v>
      </c>
      <c r="B937" s="194" t="s">
        <v>619</v>
      </c>
      <c r="C937" s="222" t="s">
        <v>197</v>
      </c>
      <c r="D937" s="171"/>
      <c r="E937" s="147">
        <v>249000</v>
      </c>
      <c r="F937" s="148">
        <f>SUM(G937)</f>
        <v>0</v>
      </c>
      <c r="G937" s="149">
        <v>0</v>
      </c>
    </row>
    <row r="938" spans="1:7" ht="19.5" customHeight="1" thickBot="1" x14ac:dyDescent="0.45"/>
    <row r="939" spans="1:7" ht="19.5" customHeight="1" thickBot="1" x14ac:dyDescent="0.45">
      <c r="A939" s="8">
        <v>2</v>
      </c>
      <c r="B939" s="193" t="s">
        <v>620</v>
      </c>
      <c r="C939" s="221" t="s">
        <v>199</v>
      </c>
      <c r="D939" s="167"/>
      <c r="E939" s="28">
        <v>234890</v>
      </c>
      <c r="F939" s="119">
        <f>SUM(G939)</f>
        <v>0</v>
      </c>
      <c r="G939" s="111">
        <v>0</v>
      </c>
    </row>
    <row r="940" spans="1:7" ht="19.5" customHeight="1" thickBot="1" x14ac:dyDescent="0.45"/>
    <row r="941" spans="1:7" ht="19.5" customHeight="1" thickBot="1" x14ac:dyDescent="0.45">
      <c r="A941" s="8">
        <v>3</v>
      </c>
      <c r="B941" s="193" t="s">
        <v>621</v>
      </c>
      <c r="C941" s="221" t="s">
        <v>201</v>
      </c>
      <c r="D941" s="167"/>
      <c r="E941" s="28">
        <v>139990</v>
      </c>
      <c r="F941" s="119">
        <f>SUM(G941)</f>
        <v>2</v>
      </c>
      <c r="G941" s="111">
        <v>2</v>
      </c>
    </row>
    <row r="942" spans="1:7" ht="19.5" customHeight="1" thickBot="1" x14ac:dyDescent="0.45"/>
    <row r="943" spans="1:7" ht="19.5" customHeight="1" thickBot="1" x14ac:dyDescent="0.45">
      <c r="A943" s="8">
        <v>4</v>
      </c>
      <c r="B943" s="193" t="s">
        <v>752</v>
      </c>
      <c r="C943" s="221" t="s">
        <v>708</v>
      </c>
      <c r="D943" s="167"/>
      <c r="E943" s="28">
        <v>234890</v>
      </c>
      <c r="F943" s="119">
        <f>SUM(G943)</f>
        <v>0</v>
      </c>
      <c r="G943" s="111">
        <v>0</v>
      </c>
    </row>
    <row r="944" spans="1:7" ht="19.5" customHeight="1" thickBot="1" x14ac:dyDescent="0.45"/>
    <row r="945" spans="1:7" ht="19.5" customHeight="1" thickBot="1" x14ac:dyDescent="0.45">
      <c r="A945" s="8">
        <v>5</v>
      </c>
      <c r="B945" s="193" t="s">
        <v>753</v>
      </c>
      <c r="C945" s="221" t="s">
        <v>709</v>
      </c>
      <c r="D945" s="167"/>
      <c r="E945" s="28">
        <v>116890</v>
      </c>
      <c r="F945" s="119">
        <f>SUM(G945)</f>
        <v>0</v>
      </c>
      <c r="G945" s="111">
        <v>0</v>
      </c>
    </row>
    <row r="946" spans="1:7" ht="19.5" customHeight="1" thickBot="1" x14ac:dyDescent="0.45"/>
    <row r="947" spans="1:7" ht="19.5" customHeight="1" thickBot="1" x14ac:dyDescent="0.45">
      <c r="A947" s="8">
        <v>6</v>
      </c>
      <c r="B947" s="193" t="s">
        <v>754</v>
      </c>
      <c r="C947" s="221" t="s">
        <v>659</v>
      </c>
      <c r="D947" s="167"/>
      <c r="E947" s="28">
        <v>129890</v>
      </c>
      <c r="F947" s="119">
        <f>SUM(G947)</f>
        <v>0</v>
      </c>
      <c r="G947" s="111">
        <v>0</v>
      </c>
    </row>
    <row r="948" spans="1:7" ht="19.5" customHeight="1" thickBot="1" x14ac:dyDescent="0.45"/>
    <row r="949" spans="1:7" ht="19.5" customHeight="1" thickBot="1" x14ac:dyDescent="0.45">
      <c r="A949" s="8">
        <v>7</v>
      </c>
      <c r="B949" s="193" t="s">
        <v>755</v>
      </c>
      <c r="C949" s="221" t="s">
        <v>705</v>
      </c>
      <c r="D949" s="167"/>
      <c r="E949" s="28">
        <v>153290</v>
      </c>
      <c r="F949" s="119">
        <f>SUM(G949)</f>
        <v>0</v>
      </c>
      <c r="G949" s="111">
        <v>0</v>
      </c>
    </row>
    <row r="950" spans="1:7" ht="19.5" customHeight="1" thickBot="1" x14ac:dyDescent="0.45"/>
    <row r="951" spans="1:7" ht="24" customHeight="1" thickBot="1" x14ac:dyDescent="0.45">
      <c r="A951" s="8">
        <v>8</v>
      </c>
      <c r="B951" s="193" t="s">
        <v>756</v>
      </c>
      <c r="C951" s="221" t="s">
        <v>695</v>
      </c>
      <c r="D951" s="167"/>
      <c r="E951" s="28">
        <v>79290</v>
      </c>
      <c r="F951" s="119">
        <f>SUM(G951)</f>
        <v>0</v>
      </c>
      <c r="G951" s="111">
        <v>0</v>
      </c>
    </row>
    <row r="952" spans="1:7" ht="19.5" customHeight="1" thickBot="1" x14ac:dyDescent="0.45"/>
    <row r="953" spans="1:7" ht="19.5" customHeight="1" thickBot="1" x14ac:dyDescent="0.45">
      <c r="A953" s="8">
        <v>9</v>
      </c>
      <c r="B953" s="193" t="s">
        <v>757</v>
      </c>
      <c r="C953" s="221" t="s">
        <v>704</v>
      </c>
      <c r="D953" s="167"/>
      <c r="E953" s="28">
        <v>66990</v>
      </c>
      <c r="F953" s="119">
        <f>SUM(G953)</f>
        <v>0</v>
      </c>
      <c r="G953" s="111">
        <v>0</v>
      </c>
    </row>
    <row r="954" spans="1:7" ht="19.5" customHeight="1" thickBot="1" x14ac:dyDescent="0.45"/>
    <row r="955" spans="1:7" ht="19.5" customHeight="1" thickBot="1" x14ac:dyDescent="0.45">
      <c r="A955" s="8">
        <v>10</v>
      </c>
      <c r="B955" s="193" t="s">
        <v>758</v>
      </c>
      <c r="C955" s="221" t="s">
        <v>706</v>
      </c>
      <c r="D955" s="167"/>
      <c r="E955" s="28">
        <v>79590</v>
      </c>
      <c r="F955" s="119">
        <f>SUM(G955)</f>
        <v>0</v>
      </c>
      <c r="G955" s="111">
        <v>0</v>
      </c>
    </row>
    <row r="956" spans="1:7" ht="19.5" customHeight="1" thickBot="1" x14ac:dyDescent="0.45"/>
    <row r="957" spans="1:7" ht="19.5" customHeight="1" thickBot="1" x14ac:dyDescent="0.45">
      <c r="A957" s="8">
        <v>11</v>
      </c>
      <c r="B957" s="193" t="s">
        <v>759</v>
      </c>
      <c r="C957" s="221" t="s">
        <v>707</v>
      </c>
      <c r="D957" s="167"/>
      <c r="E957" s="28">
        <v>143890</v>
      </c>
      <c r="F957" s="119">
        <f>SUM(G957)</f>
        <v>0</v>
      </c>
      <c r="G957" s="111">
        <v>0</v>
      </c>
    </row>
    <row r="958" spans="1:7" ht="19.5" customHeight="1" thickBot="1" x14ac:dyDescent="0.45"/>
    <row r="959" spans="1:7" ht="19.5" customHeight="1" thickBot="1" x14ac:dyDescent="0.45">
      <c r="A959" s="8">
        <v>12</v>
      </c>
      <c r="B959" s="193" t="s">
        <v>616</v>
      </c>
      <c r="C959" s="221" t="s">
        <v>710</v>
      </c>
      <c r="D959" s="167"/>
      <c r="E959" s="28">
        <v>59900</v>
      </c>
      <c r="F959" s="119">
        <f>SUM(G959)</f>
        <v>0</v>
      </c>
      <c r="G959" s="111">
        <v>0</v>
      </c>
    </row>
    <row r="960" spans="1:7" ht="19.5" customHeight="1" thickBot="1" x14ac:dyDescent="0.45"/>
    <row r="961" spans="1:7" ht="19.5" customHeight="1" thickBot="1" x14ac:dyDescent="0.45">
      <c r="A961" s="8">
        <v>13</v>
      </c>
      <c r="B961" s="193" t="s">
        <v>761</v>
      </c>
      <c r="C961" s="221"/>
      <c r="D961" s="167"/>
      <c r="E961" s="28">
        <v>159990</v>
      </c>
      <c r="F961" s="119">
        <f>SUM(G961)</f>
        <v>0</v>
      </c>
      <c r="G961" s="111">
        <v>0</v>
      </c>
    </row>
    <row r="962" spans="1:7" ht="19.5" customHeight="1" thickBot="1" x14ac:dyDescent="0.45"/>
    <row r="963" spans="1:7" ht="19.5" customHeight="1" thickBot="1" x14ac:dyDescent="0.45">
      <c r="A963" s="8">
        <v>14</v>
      </c>
      <c r="B963" s="193" t="s">
        <v>760</v>
      </c>
      <c r="C963" s="221"/>
      <c r="D963" s="167"/>
      <c r="E963" s="28">
        <v>199000</v>
      </c>
      <c r="F963" s="119">
        <f>SUM(G963)</f>
        <v>0</v>
      </c>
      <c r="G963" s="111">
        <v>0</v>
      </c>
    </row>
    <row r="964" spans="1:7" ht="19.5" customHeight="1" thickBot="1" x14ac:dyDescent="0.45"/>
    <row r="965" spans="1:7" ht="19.5" customHeight="1" thickBot="1" x14ac:dyDescent="0.45">
      <c r="A965" s="8">
        <v>15</v>
      </c>
      <c r="B965" s="193" t="s">
        <v>617</v>
      </c>
      <c r="C965" s="221"/>
      <c r="D965" s="167"/>
      <c r="E965" s="28">
        <v>48590</v>
      </c>
      <c r="F965" s="119">
        <f>SUM(G965)</f>
        <v>1</v>
      </c>
      <c r="G965" s="111">
        <v>1</v>
      </c>
    </row>
    <row r="966" spans="1:7" ht="19.5" customHeight="1" thickBot="1" x14ac:dyDescent="0.45"/>
    <row r="967" spans="1:7" ht="19.5" customHeight="1" thickBot="1" x14ac:dyDescent="0.45">
      <c r="A967" s="8">
        <v>16</v>
      </c>
      <c r="B967" s="193" t="s">
        <v>618</v>
      </c>
      <c r="C967" s="221"/>
      <c r="D967" s="167"/>
      <c r="E967" s="28">
        <v>48590</v>
      </c>
      <c r="F967" s="119">
        <f>SUM(G967)</f>
        <v>0</v>
      </c>
      <c r="G967" s="111">
        <v>0</v>
      </c>
    </row>
    <row r="968" spans="1:7" ht="19.5" thickBot="1" x14ac:dyDescent="0.45"/>
    <row r="969" spans="1:7" ht="19.5" thickBot="1" x14ac:dyDescent="0.45">
      <c r="A969" s="8">
        <v>17</v>
      </c>
      <c r="B969" s="189" t="s">
        <v>696</v>
      </c>
      <c r="C969" s="211" t="s">
        <v>697</v>
      </c>
      <c r="D969" s="167" t="s">
        <v>698</v>
      </c>
      <c r="E969" s="28">
        <v>110000</v>
      </c>
      <c r="F969" s="119">
        <f>SUM(G969)</f>
        <v>0</v>
      </c>
      <c r="G969" s="111">
        <v>0</v>
      </c>
    </row>
    <row r="970" spans="1:7" ht="19.5" customHeight="1" thickBot="1" x14ac:dyDescent="0.45"/>
    <row r="971" spans="1:7" ht="22.5" customHeight="1" thickBot="1" x14ac:dyDescent="0.45">
      <c r="A971" s="8">
        <v>1</v>
      </c>
      <c r="B971" s="193" t="s">
        <v>214</v>
      </c>
      <c r="C971" s="221"/>
      <c r="D971" s="167" t="s">
        <v>215</v>
      </c>
      <c r="E971" s="28">
        <v>149000</v>
      </c>
      <c r="F971" s="119">
        <f>SUM(G971)</f>
        <v>0</v>
      </c>
      <c r="G971" s="111">
        <v>0</v>
      </c>
    </row>
    <row r="972" spans="1:7" ht="19.5" customHeight="1" thickBot="1" x14ac:dyDescent="0.45"/>
    <row r="973" spans="1:7" ht="24" customHeight="1" thickBot="1" x14ac:dyDescent="0.45">
      <c r="A973" s="8">
        <v>2</v>
      </c>
      <c r="B973" s="193" t="s">
        <v>216</v>
      </c>
      <c r="C973" s="221"/>
      <c r="D973" s="167" t="s">
        <v>215</v>
      </c>
      <c r="E973" s="28">
        <v>69990</v>
      </c>
      <c r="F973" s="119">
        <f>SUM(G973)</f>
        <v>0</v>
      </c>
      <c r="G973" s="111">
        <v>0</v>
      </c>
    </row>
    <row r="974" spans="1:7" ht="19.5" customHeight="1" thickBot="1" x14ac:dyDescent="0.45"/>
    <row r="975" spans="1:7" ht="24" customHeight="1" thickBot="1" x14ac:dyDescent="0.45">
      <c r="A975" s="8">
        <v>3</v>
      </c>
      <c r="B975" s="193" t="s">
        <v>217</v>
      </c>
      <c r="C975" s="221"/>
      <c r="D975" s="167" t="s">
        <v>223</v>
      </c>
      <c r="E975" s="28">
        <v>21990</v>
      </c>
      <c r="F975" s="119">
        <f>SUM(G975)</f>
        <v>0</v>
      </c>
      <c r="G975" s="111">
        <v>0</v>
      </c>
    </row>
    <row r="976" spans="1:7" ht="19.5" customHeight="1" thickBot="1" x14ac:dyDescent="0.45"/>
    <row r="977" spans="1:7" x14ac:dyDescent="0.4">
      <c r="A977" s="8">
        <v>4</v>
      </c>
      <c r="B977" s="181" t="s">
        <v>218</v>
      </c>
      <c r="C977" s="214"/>
      <c r="D977" s="156" t="s">
        <v>219</v>
      </c>
      <c r="E977" s="13">
        <v>18890</v>
      </c>
      <c r="F977" s="108">
        <f>SUM(G977)</f>
        <v>0</v>
      </c>
      <c r="G977" s="104">
        <v>0</v>
      </c>
    </row>
    <row r="978" spans="1:7" ht="19.5" customHeight="1" thickBot="1" x14ac:dyDescent="0.45">
      <c r="B978" s="183" t="s">
        <v>218</v>
      </c>
      <c r="C978" s="202"/>
      <c r="D978" s="158" t="s">
        <v>224</v>
      </c>
      <c r="E978" s="17">
        <v>19490</v>
      </c>
      <c r="F978" s="110">
        <f>SUM(G978)</f>
        <v>3</v>
      </c>
      <c r="G978" s="106">
        <v>3</v>
      </c>
    </row>
    <row r="979" spans="1:7" ht="19.5" customHeight="1" thickBot="1" x14ac:dyDescent="0.45"/>
    <row r="980" spans="1:7" s="150" customFormat="1" ht="24" customHeight="1" thickBot="1" x14ac:dyDescent="0.45">
      <c r="A980" s="146">
        <v>5</v>
      </c>
      <c r="B980" s="194" t="s">
        <v>220</v>
      </c>
      <c r="C980" s="222"/>
      <c r="D980" s="171" t="s">
        <v>702</v>
      </c>
      <c r="E980" s="147">
        <v>20490</v>
      </c>
      <c r="F980" s="148">
        <f>SUM(G980)</f>
        <v>0</v>
      </c>
      <c r="G980" s="149">
        <v>0</v>
      </c>
    </row>
    <row r="981" spans="1:7" ht="16.5" customHeight="1" thickBot="1" x14ac:dyDescent="0.45"/>
    <row r="982" spans="1:7" s="150" customFormat="1" ht="27.75" customHeight="1" thickBot="1" x14ac:dyDescent="0.45">
      <c r="A982" s="146">
        <v>6</v>
      </c>
      <c r="B982" s="194" t="s">
        <v>389</v>
      </c>
      <c r="C982" s="222" t="s">
        <v>222</v>
      </c>
      <c r="D982" s="171" t="s">
        <v>699</v>
      </c>
      <c r="E982" s="147">
        <v>23290</v>
      </c>
      <c r="F982" s="148">
        <f>SUM(G982)</f>
        <v>0</v>
      </c>
      <c r="G982" s="149">
        <v>0</v>
      </c>
    </row>
    <row r="983" spans="1:7" ht="19.5" customHeight="1" thickBot="1" x14ac:dyDescent="0.45"/>
    <row r="984" spans="1:7" s="150" customFormat="1" ht="25.5" customHeight="1" thickBot="1" x14ac:dyDescent="0.45">
      <c r="A984" s="146">
        <v>7</v>
      </c>
      <c r="B984" s="194" t="s">
        <v>390</v>
      </c>
      <c r="C984" s="222"/>
      <c r="D984" s="171" t="s">
        <v>223</v>
      </c>
      <c r="E984" s="147">
        <v>24900</v>
      </c>
      <c r="F984" s="148">
        <f>SUM(G984)</f>
        <v>0</v>
      </c>
      <c r="G984" s="149">
        <v>0</v>
      </c>
    </row>
    <row r="985" spans="1:7" ht="19.5" customHeight="1" thickBot="1" x14ac:dyDescent="0.45"/>
    <row r="986" spans="1:7" s="150" customFormat="1" ht="24" customHeight="1" thickBot="1" x14ac:dyDescent="0.45">
      <c r="A986" s="146">
        <v>8</v>
      </c>
      <c r="B986" s="194" t="s">
        <v>391</v>
      </c>
      <c r="C986" s="222"/>
      <c r="D986" s="171" t="s">
        <v>223</v>
      </c>
      <c r="E986" s="147">
        <v>24900</v>
      </c>
      <c r="F986" s="148">
        <f>SUM(G986)</f>
        <v>0</v>
      </c>
      <c r="G986" s="149">
        <v>0</v>
      </c>
    </row>
    <row r="987" spans="1:7" ht="19.5" customHeight="1" thickBot="1" x14ac:dyDescent="0.45"/>
    <row r="988" spans="1:7" s="150" customFormat="1" ht="26.25" customHeight="1" thickBot="1" x14ac:dyDescent="0.45">
      <c r="A988" s="146">
        <v>9</v>
      </c>
      <c r="B988" s="194" t="s">
        <v>392</v>
      </c>
      <c r="C988" s="222"/>
      <c r="D988" s="171" t="s">
        <v>223</v>
      </c>
      <c r="E988" s="147">
        <v>22900</v>
      </c>
      <c r="F988" s="148">
        <f>SUM(G988)</f>
        <v>0</v>
      </c>
      <c r="G988" s="149">
        <v>0</v>
      </c>
    </row>
    <row r="989" spans="1:7" ht="19.5" customHeight="1" thickBot="1" x14ac:dyDescent="0.45"/>
    <row r="990" spans="1:7" s="150" customFormat="1" ht="24.75" customHeight="1" thickBot="1" x14ac:dyDescent="0.45">
      <c r="A990" s="146">
        <v>10</v>
      </c>
      <c r="B990" s="194" t="s">
        <v>393</v>
      </c>
      <c r="C990" s="222"/>
      <c r="D990" s="171" t="s">
        <v>225</v>
      </c>
      <c r="E990" s="147">
        <v>19900</v>
      </c>
      <c r="F990" s="148">
        <f>SUM(G990)</f>
        <v>0</v>
      </c>
      <c r="G990" s="149">
        <v>0</v>
      </c>
    </row>
    <row r="991" spans="1:7" ht="19.5" customHeight="1" thickBot="1" x14ac:dyDescent="0.45"/>
    <row r="992" spans="1:7" s="150" customFormat="1" ht="27" customHeight="1" thickBot="1" x14ac:dyDescent="0.45">
      <c r="A992" s="146">
        <v>11</v>
      </c>
      <c r="B992" s="194" t="s">
        <v>394</v>
      </c>
      <c r="C992" s="222"/>
      <c r="D992" s="171" t="s">
        <v>226</v>
      </c>
      <c r="E992" s="147">
        <v>14900</v>
      </c>
      <c r="F992" s="148">
        <f>SUM(G992)</f>
        <v>0</v>
      </c>
      <c r="G992" s="149">
        <v>0</v>
      </c>
    </row>
    <row r="993" spans="1:7" ht="19.5" customHeight="1" thickBot="1" x14ac:dyDescent="0.45"/>
    <row r="994" spans="1:7" s="150" customFormat="1" ht="25.5" customHeight="1" thickBot="1" x14ac:dyDescent="0.45">
      <c r="A994" s="146">
        <v>12</v>
      </c>
      <c r="B994" s="194" t="s">
        <v>395</v>
      </c>
      <c r="C994" s="222"/>
      <c r="D994" s="171" t="s">
        <v>227</v>
      </c>
      <c r="E994" s="147">
        <v>9900</v>
      </c>
      <c r="F994" s="148">
        <f>SUM(G994)</f>
        <v>3</v>
      </c>
      <c r="G994" s="149">
        <v>3</v>
      </c>
    </row>
    <row r="995" spans="1:7" ht="19.5" customHeight="1" thickBot="1" x14ac:dyDescent="0.45"/>
    <row r="996" spans="1:7" s="150" customFormat="1" ht="25.5" customHeight="1" thickBot="1" x14ac:dyDescent="0.45">
      <c r="A996" s="146">
        <v>13</v>
      </c>
      <c r="B996" s="194" t="s">
        <v>396</v>
      </c>
      <c r="C996" s="222" t="s">
        <v>711</v>
      </c>
      <c r="D996" s="171" t="s">
        <v>228</v>
      </c>
      <c r="E996" s="147">
        <v>23900</v>
      </c>
      <c r="F996" s="148">
        <f>SUM(G996)</f>
        <v>0</v>
      </c>
      <c r="G996" s="149">
        <v>0</v>
      </c>
    </row>
    <row r="997" spans="1:7" ht="19.5" customHeight="1" thickBot="1" x14ac:dyDescent="0.45"/>
    <row r="998" spans="1:7" s="150" customFormat="1" ht="26.25" customHeight="1" thickBot="1" x14ac:dyDescent="0.45">
      <c r="A998" s="146">
        <v>14</v>
      </c>
      <c r="B998" s="194" t="s">
        <v>397</v>
      </c>
      <c r="C998" s="222"/>
      <c r="D998" s="171" t="s">
        <v>227</v>
      </c>
      <c r="E998" s="147">
        <v>29900</v>
      </c>
      <c r="F998" s="148">
        <f>SUM(G998)</f>
        <v>0</v>
      </c>
      <c r="G998" s="149">
        <v>0</v>
      </c>
    </row>
    <row r="999" spans="1:7" ht="19.5" customHeight="1" thickBot="1" x14ac:dyDescent="0.45"/>
    <row r="1000" spans="1:7" s="150" customFormat="1" ht="25.5" customHeight="1" thickBot="1" x14ac:dyDescent="0.45">
      <c r="A1000" s="146">
        <v>15</v>
      </c>
      <c r="B1000" s="194" t="s">
        <v>398</v>
      </c>
      <c r="C1000" s="222"/>
      <c r="D1000" s="171" t="s">
        <v>229</v>
      </c>
      <c r="E1000" s="147">
        <v>8900</v>
      </c>
      <c r="F1000" s="148">
        <f>SUM(G1000)</f>
        <v>2</v>
      </c>
      <c r="G1000" s="149">
        <v>2</v>
      </c>
    </row>
    <row r="1001" spans="1:7" ht="19.5" customHeight="1" thickBot="1" x14ac:dyDescent="0.45"/>
    <row r="1002" spans="1:7" s="150" customFormat="1" ht="24" customHeight="1" thickBot="1" x14ac:dyDescent="0.45">
      <c r="A1002" s="146">
        <v>16</v>
      </c>
      <c r="B1002" s="194" t="s">
        <v>399</v>
      </c>
      <c r="C1002" s="222"/>
      <c r="D1002" s="171" t="s">
        <v>230</v>
      </c>
      <c r="E1002" s="147">
        <v>18900</v>
      </c>
      <c r="F1002" s="148">
        <f>SUM(G1002)</f>
        <v>0</v>
      </c>
      <c r="G1002" s="149">
        <v>0</v>
      </c>
    </row>
    <row r="1003" spans="1:7" ht="19.5" customHeight="1" thickBot="1" x14ac:dyDescent="0.45"/>
    <row r="1004" spans="1:7" s="150" customFormat="1" ht="26.25" customHeight="1" thickBot="1" x14ac:dyDescent="0.45">
      <c r="A1004" s="146">
        <v>17</v>
      </c>
      <c r="B1004" s="194" t="s">
        <v>231</v>
      </c>
      <c r="C1004" s="222"/>
      <c r="D1004" s="171" t="s">
        <v>232</v>
      </c>
      <c r="E1004" s="147">
        <v>17990</v>
      </c>
      <c r="F1004" s="148">
        <f>SUM(G1004)</f>
        <v>0</v>
      </c>
      <c r="G1004" s="149">
        <v>0</v>
      </c>
    </row>
    <row r="1005" spans="1:7" ht="19.5" customHeight="1" thickBot="1" x14ac:dyDescent="0.45"/>
    <row r="1006" spans="1:7" x14ac:dyDescent="0.4">
      <c r="A1006" s="8">
        <v>18</v>
      </c>
      <c r="B1006" s="192" t="s">
        <v>233</v>
      </c>
      <c r="C1006" s="214"/>
      <c r="D1006" s="156" t="s">
        <v>234</v>
      </c>
      <c r="E1006" s="13">
        <v>17990</v>
      </c>
      <c r="F1006" s="108">
        <f>SUM(G1006)</f>
        <v>0</v>
      </c>
      <c r="G1006" s="104">
        <v>0</v>
      </c>
    </row>
    <row r="1007" spans="1:7" ht="19.5" customHeight="1" thickBot="1" x14ac:dyDescent="0.45">
      <c r="B1007" s="183" t="s">
        <v>233</v>
      </c>
      <c r="C1007" s="202"/>
      <c r="D1007" s="158" t="s">
        <v>235</v>
      </c>
      <c r="E1007" s="17">
        <v>16890</v>
      </c>
      <c r="F1007" s="110">
        <f>SUM(G1007)</f>
        <v>0</v>
      </c>
      <c r="G1007" s="106">
        <v>0</v>
      </c>
    </row>
    <row r="1008" spans="1:7" ht="19.5" customHeight="1" thickBot="1" x14ac:dyDescent="0.45"/>
    <row r="1009" spans="1:7" s="150" customFormat="1" ht="22.5" customHeight="1" thickBot="1" x14ac:dyDescent="0.45">
      <c r="A1009" s="146">
        <v>19</v>
      </c>
      <c r="B1009" s="194" t="s">
        <v>236</v>
      </c>
      <c r="C1009" s="222"/>
      <c r="D1009" s="171" t="s">
        <v>234</v>
      </c>
      <c r="E1009" s="147">
        <v>16890</v>
      </c>
      <c r="F1009" s="148">
        <f>SUM(G1009)</f>
        <v>0</v>
      </c>
      <c r="G1009" s="149">
        <v>0</v>
      </c>
    </row>
    <row r="1010" spans="1:7" ht="19.5" customHeight="1" thickBot="1" x14ac:dyDescent="0.45"/>
    <row r="1011" spans="1:7" ht="19.5" customHeight="1" thickBot="1" x14ac:dyDescent="0.45">
      <c r="A1011" s="8">
        <v>20</v>
      </c>
      <c r="B1011" s="194" t="s">
        <v>237</v>
      </c>
      <c r="C1011" s="221"/>
      <c r="D1011" s="167" t="s">
        <v>234</v>
      </c>
      <c r="E1011" s="28">
        <v>15790</v>
      </c>
      <c r="F1011" s="119">
        <f>SUM(G1011)</f>
        <v>0</v>
      </c>
      <c r="G1011" s="111">
        <v>0</v>
      </c>
    </row>
    <row r="1012" spans="1:7" ht="19.5" customHeight="1" thickBot="1" x14ac:dyDescent="0.45"/>
    <row r="1013" spans="1:7" x14ac:dyDescent="0.4">
      <c r="A1013" s="8">
        <v>21</v>
      </c>
      <c r="B1013" s="192" t="s">
        <v>238</v>
      </c>
      <c r="C1013" s="214"/>
      <c r="D1013" s="156" t="s">
        <v>239</v>
      </c>
      <c r="E1013" s="13">
        <v>12900</v>
      </c>
      <c r="F1013" s="108">
        <f t="shared" ref="F1013:F1021" si="46">SUM(G1013)</f>
        <v>0</v>
      </c>
      <c r="G1013" s="104">
        <v>0</v>
      </c>
    </row>
    <row r="1014" spans="1:7" x14ac:dyDescent="0.4">
      <c r="B1014" s="182" t="s">
        <v>238</v>
      </c>
      <c r="D1014" s="157" t="s">
        <v>234</v>
      </c>
      <c r="E1014" s="6">
        <v>13590</v>
      </c>
      <c r="F1014" s="109">
        <f t="shared" si="46"/>
        <v>1</v>
      </c>
      <c r="G1014" s="105">
        <v>1</v>
      </c>
    </row>
    <row r="1015" spans="1:7" x14ac:dyDescent="0.4">
      <c r="B1015" s="182" t="s">
        <v>238</v>
      </c>
      <c r="D1015" s="160" t="s">
        <v>240</v>
      </c>
      <c r="E1015" s="7">
        <v>14590</v>
      </c>
      <c r="F1015" s="109">
        <f t="shared" si="46"/>
        <v>0</v>
      </c>
      <c r="G1015" s="107">
        <v>0</v>
      </c>
    </row>
    <row r="1016" spans="1:7" x14ac:dyDescent="0.4">
      <c r="B1016" s="182" t="s">
        <v>238</v>
      </c>
      <c r="D1016" s="157" t="s">
        <v>6</v>
      </c>
      <c r="E1016" s="6">
        <v>14590</v>
      </c>
      <c r="F1016" s="109">
        <f t="shared" si="46"/>
        <v>1</v>
      </c>
      <c r="G1016" s="105">
        <v>1</v>
      </c>
    </row>
    <row r="1017" spans="1:7" x14ac:dyDescent="0.4">
      <c r="B1017" s="182" t="s">
        <v>238</v>
      </c>
      <c r="D1017" s="157" t="s">
        <v>447</v>
      </c>
      <c r="E1017" s="6">
        <v>14590</v>
      </c>
      <c r="F1017" s="109">
        <f t="shared" si="46"/>
        <v>1</v>
      </c>
      <c r="G1017" s="105">
        <v>1</v>
      </c>
    </row>
    <row r="1018" spans="1:7" x14ac:dyDescent="0.4">
      <c r="B1018" s="182" t="s">
        <v>238</v>
      </c>
      <c r="D1018" s="157" t="s">
        <v>546</v>
      </c>
      <c r="E1018" s="6">
        <v>13590</v>
      </c>
      <c r="F1018" s="109">
        <f t="shared" si="46"/>
        <v>2</v>
      </c>
      <c r="G1018" s="105">
        <v>2</v>
      </c>
    </row>
    <row r="1019" spans="1:7" x14ac:dyDescent="0.4">
      <c r="B1019" s="182" t="s">
        <v>238</v>
      </c>
      <c r="D1019" s="157" t="s">
        <v>344</v>
      </c>
      <c r="E1019" s="6">
        <v>13590</v>
      </c>
      <c r="F1019" s="109">
        <f t="shared" si="46"/>
        <v>3</v>
      </c>
      <c r="G1019" s="105">
        <v>3</v>
      </c>
    </row>
    <row r="1020" spans="1:7" ht="19.5" customHeight="1" x14ac:dyDescent="0.4">
      <c r="B1020" s="182" t="s">
        <v>238</v>
      </c>
      <c r="D1020" s="160" t="s">
        <v>7</v>
      </c>
      <c r="E1020" s="7">
        <v>14590</v>
      </c>
      <c r="F1020" s="118">
        <f t="shared" si="46"/>
        <v>1</v>
      </c>
      <c r="G1020" s="107">
        <v>1</v>
      </c>
    </row>
    <row r="1021" spans="1:7" ht="19.5" customHeight="1" thickBot="1" x14ac:dyDescent="0.45">
      <c r="B1021" s="183" t="s">
        <v>238</v>
      </c>
      <c r="C1021" s="202"/>
      <c r="D1021" s="158" t="s">
        <v>33</v>
      </c>
      <c r="E1021" s="17">
        <v>14590</v>
      </c>
      <c r="F1021" s="110">
        <f t="shared" si="46"/>
        <v>1</v>
      </c>
      <c r="G1021" s="106">
        <v>1</v>
      </c>
    </row>
    <row r="1022" spans="1:7" ht="19.5" customHeight="1" thickBot="1" x14ac:dyDescent="0.45"/>
    <row r="1023" spans="1:7" x14ac:dyDescent="0.4">
      <c r="A1023" s="8">
        <v>22</v>
      </c>
      <c r="B1023" s="192" t="s">
        <v>241</v>
      </c>
      <c r="C1023" s="214"/>
      <c r="D1023" s="156" t="s">
        <v>234</v>
      </c>
      <c r="E1023" s="13">
        <v>16990</v>
      </c>
      <c r="F1023" s="108">
        <f>SUM(G1023)</f>
        <v>0</v>
      </c>
      <c r="G1023" s="104">
        <v>0</v>
      </c>
    </row>
    <row r="1024" spans="1:7" x14ac:dyDescent="0.4">
      <c r="B1024" s="182" t="s">
        <v>241</v>
      </c>
      <c r="D1024" s="157" t="s">
        <v>226</v>
      </c>
      <c r="E1024" s="6">
        <v>16990</v>
      </c>
      <c r="F1024" s="109">
        <f>SUM(G1024)</f>
        <v>0</v>
      </c>
      <c r="G1024" s="105">
        <v>0</v>
      </c>
    </row>
    <row r="1025" spans="1:7" ht="19.5" customHeight="1" thickBot="1" x14ac:dyDescent="0.45">
      <c r="B1025" s="183" t="s">
        <v>241</v>
      </c>
      <c r="C1025" s="202"/>
      <c r="D1025" s="158" t="s">
        <v>235</v>
      </c>
      <c r="E1025" s="17">
        <v>13690</v>
      </c>
      <c r="F1025" s="110">
        <f>SUM(G1025)</f>
        <v>0</v>
      </c>
      <c r="G1025" s="106">
        <v>0</v>
      </c>
    </row>
    <row r="1026" spans="1:7" ht="19.5" customHeight="1" thickBot="1" x14ac:dyDescent="0.45"/>
    <row r="1027" spans="1:7" x14ac:dyDescent="0.4">
      <c r="A1027" s="8">
        <v>23</v>
      </c>
      <c r="B1027" s="181" t="s">
        <v>715</v>
      </c>
      <c r="C1027" s="214" t="s">
        <v>222</v>
      </c>
      <c r="D1027" s="156" t="s">
        <v>234</v>
      </c>
      <c r="E1027" s="13">
        <v>18300</v>
      </c>
      <c r="F1027" s="108">
        <f>SUM(G1027)</f>
        <v>0</v>
      </c>
      <c r="G1027" s="104">
        <v>0</v>
      </c>
    </row>
    <row r="1028" spans="1:7" ht="19.5" customHeight="1" thickBot="1" x14ac:dyDescent="0.45">
      <c r="B1028" s="183" t="s">
        <v>715</v>
      </c>
      <c r="C1028" s="202" t="s">
        <v>222</v>
      </c>
      <c r="D1028" s="158" t="s">
        <v>243</v>
      </c>
      <c r="E1028" s="17">
        <v>20450</v>
      </c>
      <c r="F1028" s="110">
        <f>SUM(G1028)</f>
        <v>0</v>
      </c>
      <c r="G1028" s="106">
        <v>0</v>
      </c>
    </row>
    <row r="1029" spans="1:7" ht="19.5" customHeight="1" thickBot="1" x14ac:dyDescent="0.45"/>
    <row r="1030" spans="1:7" ht="21" customHeight="1" thickBot="1" x14ac:dyDescent="0.45">
      <c r="A1030" s="8">
        <v>24</v>
      </c>
      <c r="B1030" s="193" t="s">
        <v>716</v>
      </c>
      <c r="C1030" s="221" t="s">
        <v>222</v>
      </c>
      <c r="D1030" s="167" t="s">
        <v>234</v>
      </c>
      <c r="E1030" s="28">
        <v>15790</v>
      </c>
      <c r="F1030" s="119">
        <f>SUM(G1030)</f>
        <v>1</v>
      </c>
      <c r="G1030" s="111">
        <v>1</v>
      </c>
    </row>
    <row r="1031" spans="1:7" ht="19.5" customHeight="1" thickBot="1" x14ac:dyDescent="0.45"/>
    <row r="1032" spans="1:7" s="150" customFormat="1" ht="24" customHeight="1" thickBot="1" x14ac:dyDescent="0.45">
      <c r="A1032" s="146">
        <v>25</v>
      </c>
      <c r="B1032" s="194" t="s">
        <v>245</v>
      </c>
      <c r="C1032" s="222" t="s">
        <v>712</v>
      </c>
      <c r="D1032" s="171" t="s">
        <v>246</v>
      </c>
      <c r="E1032" s="147">
        <v>19290</v>
      </c>
      <c r="F1032" s="148">
        <f>SUM(G1032)</f>
        <v>1</v>
      </c>
      <c r="G1032" s="149">
        <v>1</v>
      </c>
    </row>
    <row r="1033" spans="1:7" ht="19.5" customHeight="1" thickBot="1" x14ac:dyDescent="0.45"/>
    <row r="1034" spans="1:7" s="150" customFormat="1" ht="24.75" customHeight="1" thickBot="1" x14ac:dyDescent="0.45">
      <c r="A1034" s="146">
        <v>26</v>
      </c>
      <c r="B1034" s="194" t="s">
        <v>247</v>
      </c>
      <c r="C1034" s="222"/>
      <c r="D1034" s="171" t="s">
        <v>235</v>
      </c>
      <c r="E1034" s="147">
        <v>17990</v>
      </c>
      <c r="F1034" s="148">
        <f>SUM(G1034)</f>
        <v>1</v>
      </c>
      <c r="G1034" s="149">
        <v>1</v>
      </c>
    </row>
    <row r="1035" spans="1:7" ht="19.5" customHeight="1" thickBot="1" x14ac:dyDescent="0.45"/>
    <row r="1036" spans="1:7" x14ac:dyDescent="0.4">
      <c r="A1036" s="8">
        <v>27</v>
      </c>
      <c r="B1036" s="181" t="s">
        <v>717</v>
      </c>
      <c r="C1036" s="214" t="s">
        <v>222</v>
      </c>
      <c r="D1036" s="156" t="s">
        <v>219</v>
      </c>
      <c r="E1036" s="13">
        <v>9290</v>
      </c>
      <c r="F1036" s="108">
        <f>SUM(G1036)</f>
        <v>0</v>
      </c>
      <c r="G1036" s="104">
        <v>0</v>
      </c>
    </row>
    <row r="1037" spans="1:7" ht="19.5" customHeight="1" thickBot="1" x14ac:dyDescent="0.45">
      <c r="B1037" s="183" t="s">
        <v>717</v>
      </c>
      <c r="C1037" s="202" t="s">
        <v>222</v>
      </c>
      <c r="D1037" s="158" t="s">
        <v>223</v>
      </c>
      <c r="E1037" s="17">
        <v>9290</v>
      </c>
      <c r="F1037" s="110">
        <f>SUM(G1037)</f>
        <v>0</v>
      </c>
      <c r="G1037" s="106">
        <v>0</v>
      </c>
    </row>
    <row r="1038" spans="1:7" ht="19.5" customHeight="1" thickBot="1" x14ac:dyDescent="0.45"/>
    <row r="1039" spans="1:7" x14ac:dyDescent="0.4">
      <c r="A1039" s="8">
        <v>28</v>
      </c>
      <c r="B1039" s="181" t="s">
        <v>718</v>
      </c>
      <c r="C1039" s="214" t="s">
        <v>222</v>
      </c>
      <c r="D1039" s="156" t="s">
        <v>248</v>
      </c>
      <c r="E1039" s="13">
        <v>20590</v>
      </c>
      <c r="F1039" s="108">
        <f>SUM(G1039)</f>
        <v>5</v>
      </c>
      <c r="G1039" s="104">
        <v>5</v>
      </c>
    </row>
    <row r="1040" spans="1:7" x14ac:dyDescent="0.4">
      <c r="B1040" s="182" t="s">
        <v>718</v>
      </c>
      <c r="C1040" s="201" t="s">
        <v>222</v>
      </c>
      <c r="D1040" s="157" t="s">
        <v>249</v>
      </c>
      <c r="E1040" s="6">
        <v>17790</v>
      </c>
      <c r="F1040" s="109">
        <f>SUM(G1040)</f>
        <v>16</v>
      </c>
      <c r="G1040" s="105">
        <v>16</v>
      </c>
    </row>
    <row r="1041" spans="1:7" x14ac:dyDescent="0.4">
      <c r="B1041" s="182" t="s">
        <v>718</v>
      </c>
      <c r="C1041" s="201" t="s">
        <v>222</v>
      </c>
      <c r="D1041" s="157" t="s">
        <v>250</v>
      </c>
      <c r="E1041" s="6">
        <v>15990</v>
      </c>
      <c r="F1041" s="109">
        <f>SUM(G1041)</f>
        <v>0</v>
      </c>
      <c r="G1041" s="105">
        <v>0</v>
      </c>
    </row>
    <row r="1042" spans="1:7" ht="19.5" customHeight="1" thickBot="1" x14ac:dyDescent="0.45">
      <c r="B1042" s="183" t="s">
        <v>718</v>
      </c>
      <c r="C1042" s="202" t="s">
        <v>222</v>
      </c>
      <c r="D1042" s="158" t="s">
        <v>251</v>
      </c>
      <c r="E1042" s="17">
        <v>13690</v>
      </c>
      <c r="F1042" s="110">
        <f>SUM(G1042)</f>
        <v>5</v>
      </c>
      <c r="G1042" s="106">
        <v>5</v>
      </c>
    </row>
    <row r="1043" spans="1:7" ht="19.5" customHeight="1" thickBot="1" x14ac:dyDescent="0.45"/>
    <row r="1044" spans="1:7" x14ac:dyDescent="0.4">
      <c r="A1044" s="8">
        <v>29</v>
      </c>
      <c r="B1044" s="192" t="s">
        <v>713</v>
      </c>
      <c r="C1044" s="214" t="s">
        <v>714</v>
      </c>
      <c r="D1044" s="156" t="s">
        <v>253</v>
      </c>
      <c r="E1044" s="13">
        <v>9090</v>
      </c>
      <c r="F1044" s="108">
        <f>SUM(G1044)</f>
        <v>0</v>
      </c>
      <c r="G1044" s="104">
        <v>0</v>
      </c>
    </row>
    <row r="1045" spans="1:7" x14ac:dyDescent="0.4">
      <c r="B1045" s="182" t="s">
        <v>713</v>
      </c>
      <c r="C1045" s="201" t="s">
        <v>714</v>
      </c>
      <c r="D1045" s="157" t="s">
        <v>254</v>
      </c>
      <c r="E1045" s="6">
        <v>8790</v>
      </c>
      <c r="F1045" s="109">
        <f>SUM(G1045)</f>
        <v>0</v>
      </c>
      <c r="G1045" s="105">
        <v>0</v>
      </c>
    </row>
    <row r="1046" spans="1:7" ht="19.5" customHeight="1" thickBot="1" x14ac:dyDescent="0.45">
      <c r="B1046" s="183" t="s">
        <v>713</v>
      </c>
      <c r="C1046" s="202" t="s">
        <v>714</v>
      </c>
      <c r="D1046" s="158" t="s">
        <v>223</v>
      </c>
      <c r="E1046" s="17">
        <v>8990</v>
      </c>
      <c r="F1046" s="110">
        <f>SUM(G1046)</f>
        <v>6</v>
      </c>
      <c r="G1046" s="106">
        <v>6</v>
      </c>
    </row>
    <row r="1047" spans="1:7" ht="19.5" customHeight="1" thickBot="1" x14ac:dyDescent="0.45"/>
    <row r="1048" spans="1:7" x14ac:dyDescent="0.4">
      <c r="A1048" s="8">
        <v>30</v>
      </c>
      <c r="B1048" s="181" t="s">
        <v>719</v>
      </c>
      <c r="C1048" s="214" t="s">
        <v>222</v>
      </c>
      <c r="D1048" s="156" t="s">
        <v>66</v>
      </c>
      <c r="E1048" s="13">
        <v>15290</v>
      </c>
      <c r="F1048" s="108">
        <f>SUM(G1048)</f>
        <v>0</v>
      </c>
      <c r="G1048" s="104">
        <v>0</v>
      </c>
    </row>
    <row r="1049" spans="1:7" ht="19.5" customHeight="1" thickBot="1" x14ac:dyDescent="0.45">
      <c r="B1049" s="183" t="s">
        <v>719</v>
      </c>
      <c r="C1049" s="202" t="s">
        <v>222</v>
      </c>
      <c r="D1049" s="158" t="s">
        <v>226</v>
      </c>
      <c r="E1049" s="17">
        <v>13590</v>
      </c>
      <c r="F1049" s="110">
        <f>SUM(G1049)</f>
        <v>9</v>
      </c>
      <c r="G1049" s="106">
        <v>9</v>
      </c>
    </row>
    <row r="1050" spans="1:7" ht="19.5" customHeight="1" thickBot="1" x14ac:dyDescent="0.45"/>
    <row r="1051" spans="1:7" ht="19.5" customHeight="1" thickBot="1" x14ac:dyDescent="0.45">
      <c r="A1051" s="8">
        <v>31</v>
      </c>
      <c r="B1051" s="193" t="s">
        <v>720</v>
      </c>
      <c r="C1051" s="221" t="s">
        <v>222</v>
      </c>
      <c r="D1051" s="167" t="s">
        <v>234</v>
      </c>
      <c r="E1051" s="28">
        <v>14790</v>
      </c>
      <c r="F1051" s="119">
        <f>SUM(G1051)</f>
        <v>3</v>
      </c>
      <c r="G1051" s="111">
        <v>3</v>
      </c>
    </row>
    <row r="1052" spans="1:7" ht="19.5" customHeight="1" thickBot="1" x14ac:dyDescent="0.45"/>
    <row r="1053" spans="1:7" ht="19.5" customHeight="1" thickBot="1" x14ac:dyDescent="0.45">
      <c r="A1053" s="8">
        <v>32</v>
      </c>
      <c r="B1053" s="193" t="s">
        <v>721</v>
      </c>
      <c r="C1053" s="221" t="s">
        <v>222</v>
      </c>
      <c r="D1053" s="167" t="s">
        <v>234</v>
      </c>
      <c r="E1053" s="28">
        <v>20900</v>
      </c>
      <c r="F1053" s="119">
        <f>SUM(G1053)</f>
        <v>9</v>
      </c>
      <c r="G1053" s="111">
        <v>9</v>
      </c>
    </row>
    <row r="1054" spans="1:7" ht="19.5" customHeight="1" thickBot="1" x14ac:dyDescent="0.45"/>
    <row r="1055" spans="1:7" s="150" customFormat="1" ht="23.25" customHeight="1" thickBot="1" x14ac:dyDescent="0.45">
      <c r="A1055" s="146">
        <v>33</v>
      </c>
      <c r="B1055" s="194" t="s">
        <v>722</v>
      </c>
      <c r="C1055" s="222" t="s">
        <v>222</v>
      </c>
      <c r="D1055" s="171" t="s">
        <v>235</v>
      </c>
      <c r="E1055" s="147">
        <v>15990</v>
      </c>
      <c r="F1055" s="148">
        <f>SUM(G1055)</f>
        <v>1</v>
      </c>
      <c r="G1055" s="149">
        <v>1</v>
      </c>
    </row>
    <row r="1056" spans="1:7" ht="19.5" customHeight="1" thickBot="1" x14ac:dyDescent="0.45"/>
    <row r="1057" spans="1:7" s="150" customFormat="1" ht="24.75" customHeight="1" x14ac:dyDescent="0.4">
      <c r="A1057" s="146">
        <v>34</v>
      </c>
      <c r="B1057" s="181" t="s">
        <v>723</v>
      </c>
      <c r="C1057" s="220" t="s">
        <v>222</v>
      </c>
      <c r="D1057" s="177" t="s">
        <v>260</v>
      </c>
      <c r="E1057" s="151">
        <v>12790</v>
      </c>
      <c r="F1057" s="152">
        <f>SUM(G1057)</f>
        <v>0</v>
      </c>
      <c r="G1057" s="153">
        <v>0</v>
      </c>
    </row>
    <row r="1058" spans="1:7" ht="19.5" customHeight="1" thickBot="1" x14ac:dyDescent="0.45">
      <c r="B1058" s="183" t="s">
        <v>723</v>
      </c>
      <c r="C1058" s="202" t="s">
        <v>222</v>
      </c>
      <c r="D1058" s="158" t="s">
        <v>224</v>
      </c>
      <c r="E1058" s="17">
        <v>12790</v>
      </c>
      <c r="F1058" s="110">
        <f>SUM(G1058)</f>
        <v>0</v>
      </c>
      <c r="G1058" s="106">
        <v>0</v>
      </c>
    </row>
    <row r="1059" spans="1:7" ht="19.5" customHeight="1" thickBot="1" x14ac:dyDescent="0.45"/>
    <row r="1060" spans="1:7" s="150" customFormat="1" ht="21.75" customHeight="1" thickBot="1" x14ac:dyDescent="0.45">
      <c r="A1060" s="146">
        <v>35</v>
      </c>
      <c r="B1060" s="194" t="s">
        <v>724</v>
      </c>
      <c r="C1060" s="222" t="s">
        <v>725</v>
      </c>
      <c r="D1060" s="171" t="s">
        <v>235</v>
      </c>
      <c r="E1060" s="147">
        <v>16890</v>
      </c>
      <c r="F1060" s="148">
        <f>SUM(G1060)</f>
        <v>0</v>
      </c>
      <c r="G1060" s="149">
        <v>0</v>
      </c>
    </row>
    <row r="1061" spans="1:7" ht="19.5" customHeight="1" thickBot="1" x14ac:dyDescent="0.45"/>
    <row r="1062" spans="1:7" x14ac:dyDescent="0.4">
      <c r="A1062" s="8">
        <v>36</v>
      </c>
      <c r="B1062" s="192" t="s">
        <v>402</v>
      </c>
      <c r="C1062" s="214"/>
      <c r="D1062" s="156" t="s">
        <v>258</v>
      </c>
      <c r="E1062" s="13">
        <v>6790</v>
      </c>
      <c r="F1062" s="108">
        <f>SUM(G1062)</f>
        <v>4</v>
      </c>
      <c r="G1062" s="104">
        <v>4</v>
      </c>
    </row>
    <row r="1063" spans="1:7" x14ac:dyDescent="0.4">
      <c r="B1063" s="182" t="s">
        <v>402</v>
      </c>
      <c r="D1063" s="160" t="s">
        <v>235</v>
      </c>
      <c r="E1063" s="7">
        <v>4590</v>
      </c>
      <c r="F1063" s="118">
        <f>SUM(G1063)</f>
        <v>2</v>
      </c>
      <c r="G1063" s="107">
        <v>2</v>
      </c>
    </row>
    <row r="1064" spans="1:7" ht="19.5" customHeight="1" thickBot="1" x14ac:dyDescent="0.45">
      <c r="B1064" s="183" t="s">
        <v>402</v>
      </c>
      <c r="C1064" s="202"/>
      <c r="D1064" s="158" t="s">
        <v>578</v>
      </c>
      <c r="E1064" s="17">
        <v>6790</v>
      </c>
      <c r="F1064" s="110">
        <f>SUM(G1064)</f>
        <v>0</v>
      </c>
      <c r="G1064" s="106">
        <v>0</v>
      </c>
    </row>
    <row r="1065" spans="1:7" ht="19.5" customHeight="1" thickBot="1" x14ac:dyDescent="0.45"/>
    <row r="1066" spans="1:7" x14ac:dyDescent="0.4">
      <c r="A1066" s="8">
        <v>37</v>
      </c>
      <c r="B1066" s="192" t="s">
        <v>403</v>
      </c>
      <c r="C1066" s="214"/>
      <c r="D1066" s="156" t="s">
        <v>258</v>
      </c>
      <c r="E1066" s="13">
        <v>6790</v>
      </c>
      <c r="F1066" s="108">
        <f>SUM(G1066)</f>
        <v>1</v>
      </c>
      <c r="G1066" s="104">
        <v>1</v>
      </c>
    </row>
    <row r="1067" spans="1:7" x14ac:dyDescent="0.4">
      <c r="B1067" s="182" t="s">
        <v>403</v>
      </c>
      <c r="D1067" s="160" t="s">
        <v>235</v>
      </c>
      <c r="E1067" s="7">
        <v>4590</v>
      </c>
      <c r="F1067" s="118">
        <f>SUM(G1067)</f>
        <v>12</v>
      </c>
      <c r="G1067" s="107">
        <v>12</v>
      </c>
    </row>
    <row r="1068" spans="1:7" ht="19.5" customHeight="1" thickBot="1" x14ac:dyDescent="0.45">
      <c r="B1068" s="183" t="s">
        <v>403</v>
      </c>
      <c r="C1068" s="202"/>
      <c r="D1068" s="158" t="s">
        <v>701</v>
      </c>
      <c r="E1068" s="17">
        <v>6790</v>
      </c>
      <c r="F1068" s="110">
        <f>SUM(G1068)</f>
        <v>1</v>
      </c>
      <c r="G1068" s="106">
        <v>1</v>
      </c>
    </row>
    <row r="1069" spans="1:7" ht="19.5" customHeight="1" thickBot="1" x14ac:dyDescent="0.45"/>
    <row r="1070" spans="1:7" x14ac:dyDescent="0.4">
      <c r="A1070" s="8">
        <v>38</v>
      </c>
      <c r="B1070" s="192" t="s">
        <v>404</v>
      </c>
      <c r="C1070" s="214"/>
      <c r="D1070" s="156" t="s">
        <v>234</v>
      </c>
      <c r="E1070" s="13">
        <v>7890</v>
      </c>
      <c r="F1070" s="108">
        <f>SUM(G1070)</f>
        <v>0</v>
      </c>
      <c r="G1070" s="104">
        <v>0</v>
      </c>
    </row>
    <row r="1071" spans="1:7" ht="19.5" customHeight="1" thickBot="1" x14ac:dyDescent="0.45">
      <c r="B1071" s="183" t="s">
        <v>404</v>
      </c>
      <c r="C1071" s="202"/>
      <c r="D1071" s="158" t="s">
        <v>235</v>
      </c>
      <c r="E1071" s="17">
        <v>6790</v>
      </c>
      <c r="F1071" s="110">
        <f>SUM(G1071)</f>
        <v>3</v>
      </c>
      <c r="G1071" s="106">
        <v>3</v>
      </c>
    </row>
    <row r="1072" spans="1:7" ht="19.5" customHeight="1" thickBot="1" x14ac:dyDescent="0.45"/>
    <row r="1073" spans="1:7" x14ac:dyDescent="0.4">
      <c r="A1073" s="8">
        <v>39</v>
      </c>
      <c r="B1073" s="192" t="s">
        <v>726</v>
      </c>
      <c r="C1073" s="214" t="s">
        <v>712</v>
      </c>
      <c r="D1073" s="156" t="s">
        <v>66</v>
      </c>
      <c r="E1073" s="13">
        <v>9490</v>
      </c>
      <c r="F1073" s="108">
        <f>SUM(G1073)</f>
        <v>0</v>
      </c>
      <c r="G1073" s="104">
        <v>0</v>
      </c>
    </row>
    <row r="1074" spans="1:7" x14ac:dyDescent="0.4">
      <c r="B1074" s="182" t="s">
        <v>726</v>
      </c>
      <c r="C1074" s="201" t="s">
        <v>712</v>
      </c>
      <c r="D1074" s="157" t="s">
        <v>224</v>
      </c>
      <c r="E1074" s="6">
        <v>9790</v>
      </c>
      <c r="F1074" s="109">
        <f>SUM(G1074)</f>
        <v>1</v>
      </c>
      <c r="G1074" s="105">
        <v>1</v>
      </c>
    </row>
    <row r="1075" spans="1:7" ht="19.5" customHeight="1" thickBot="1" x14ac:dyDescent="0.45">
      <c r="B1075" s="183" t="s">
        <v>726</v>
      </c>
      <c r="C1075" s="202" t="s">
        <v>712</v>
      </c>
      <c r="D1075" s="158" t="s">
        <v>226</v>
      </c>
      <c r="E1075" s="17">
        <v>8190</v>
      </c>
      <c r="F1075" s="110">
        <f>SUM(G1075)</f>
        <v>11</v>
      </c>
      <c r="G1075" s="106">
        <v>11</v>
      </c>
    </row>
    <row r="1076" spans="1:7" ht="19.5" customHeight="1" thickBot="1" x14ac:dyDescent="0.45"/>
    <row r="1077" spans="1:7" x14ac:dyDescent="0.4">
      <c r="A1077" s="8">
        <v>40</v>
      </c>
      <c r="B1077" s="192" t="s">
        <v>727</v>
      </c>
      <c r="C1077" s="214" t="s">
        <v>712</v>
      </c>
      <c r="D1077" s="156" t="s">
        <v>700</v>
      </c>
      <c r="E1077" s="13">
        <v>9100</v>
      </c>
      <c r="F1077" s="108">
        <f>SUM(G1077)</f>
        <v>15</v>
      </c>
      <c r="G1077" s="104">
        <v>15</v>
      </c>
    </row>
    <row r="1078" spans="1:7" ht="19.5" thickBot="1" x14ac:dyDescent="0.45">
      <c r="B1078" s="183" t="s">
        <v>727</v>
      </c>
      <c r="C1078" s="202" t="s">
        <v>712</v>
      </c>
      <c r="D1078" s="158" t="s">
        <v>347</v>
      </c>
      <c r="E1078" s="17">
        <v>9100</v>
      </c>
      <c r="F1078" s="110">
        <f>SUM(G1078)</f>
        <v>2</v>
      </c>
      <c r="G1078" s="106">
        <v>2</v>
      </c>
    </row>
    <row r="1079" spans="1:7" ht="19.5" customHeight="1" thickBot="1" x14ac:dyDescent="0.45"/>
    <row r="1080" spans="1:7" x14ac:dyDescent="0.4">
      <c r="A1080" s="8">
        <v>41</v>
      </c>
      <c r="B1080" s="192" t="s">
        <v>728</v>
      </c>
      <c r="C1080" s="214" t="s">
        <v>711</v>
      </c>
      <c r="D1080" s="156" t="s">
        <v>249</v>
      </c>
      <c r="E1080" s="13">
        <v>12290</v>
      </c>
      <c r="F1080" s="108">
        <f>SUM(G1080)</f>
        <v>0</v>
      </c>
      <c r="G1080" s="104">
        <v>0</v>
      </c>
    </row>
    <row r="1081" spans="1:7" ht="19.5" customHeight="1" thickBot="1" x14ac:dyDescent="0.45">
      <c r="B1081" s="183" t="s">
        <v>728</v>
      </c>
      <c r="C1081" s="202" t="s">
        <v>711</v>
      </c>
      <c r="D1081" s="158" t="s">
        <v>235</v>
      </c>
      <c r="E1081" s="17">
        <v>11290</v>
      </c>
      <c r="F1081" s="110">
        <f>SUM(G1081)</f>
        <v>0</v>
      </c>
      <c r="G1081" s="106">
        <v>0</v>
      </c>
    </row>
    <row r="1082" spans="1:7" ht="19.5" customHeight="1" thickBot="1" x14ac:dyDescent="0.45"/>
    <row r="1083" spans="1:7" x14ac:dyDescent="0.4">
      <c r="A1083" s="8">
        <v>42</v>
      </c>
      <c r="B1083" s="192" t="s">
        <v>729</v>
      </c>
      <c r="C1083" s="214" t="s">
        <v>711</v>
      </c>
      <c r="D1083" s="156" t="s">
        <v>249</v>
      </c>
      <c r="E1083" s="13">
        <v>7490</v>
      </c>
      <c r="F1083" s="108">
        <f>SUM(G1083)</f>
        <v>0</v>
      </c>
      <c r="G1083" s="104">
        <v>0</v>
      </c>
    </row>
    <row r="1084" spans="1:7" ht="19.5" customHeight="1" thickBot="1" x14ac:dyDescent="0.45">
      <c r="B1084" s="183" t="s">
        <v>729</v>
      </c>
      <c r="C1084" s="202" t="s">
        <v>711</v>
      </c>
      <c r="D1084" s="158" t="s">
        <v>235</v>
      </c>
      <c r="E1084" s="17">
        <v>6590</v>
      </c>
      <c r="F1084" s="110">
        <f>SUM(G1084)</f>
        <v>0</v>
      </c>
      <c r="G1084" s="106">
        <v>0</v>
      </c>
    </row>
    <row r="1085" spans="1:7" ht="19.5" customHeight="1" thickBot="1" x14ac:dyDescent="0.45"/>
    <row r="1086" spans="1:7" ht="19.5" customHeight="1" thickBot="1" x14ac:dyDescent="0.45">
      <c r="A1086" s="8">
        <v>43</v>
      </c>
      <c r="B1086" s="194" t="s">
        <v>730</v>
      </c>
      <c r="C1086" s="221" t="s">
        <v>711</v>
      </c>
      <c r="D1086" s="167" t="s">
        <v>249</v>
      </c>
      <c r="E1086" s="28">
        <v>5490</v>
      </c>
      <c r="F1086" s="119">
        <f>SUM(G1086)</f>
        <v>0</v>
      </c>
      <c r="G1086" s="111">
        <v>0</v>
      </c>
    </row>
    <row r="1087" spans="1:7" ht="19.5" customHeight="1" thickBot="1" x14ac:dyDescent="0.45"/>
    <row r="1088" spans="1:7" ht="22.5" customHeight="1" thickBot="1" x14ac:dyDescent="0.45">
      <c r="A1088" s="8">
        <v>44</v>
      </c>
      <c r="B1088" s="194" t="s">
        <v>731</v>
      </c>
      <c r="C1088" s="221" t="s">
        <v>711</v>
      </c>
      <c r="D1088" s="167" t="s">
        <v>235</v>
      </c>
      <c r="E1088" s="28">
        <v>3990</v>
      </c>
      <c r="F1088" s="119">
        <f>SUM(G1088)</f>
        <v>0</v>
      </c>
      <c r="G1088" s="111">
        <v>0</v>
      </c>
    </row>
    <row r="1089" spans="1:7" ht="19.5" customHeight="1" thickBot="1" x14ac:dyDescent="0.45"/>
    <row r="1090" spans="1:7" ht="19.5" customHeight="1" thickBot="1" x14ac:dyDescent="0.45">
      <c r="A1090" s="8">
        <v>45</v>
      </c>
      <c r="B1090" s="194" t="s">
        <v>732</v>
      </c>
      <c r="C1090" s="221" t="s">
        <v>711</v>
      </c>
      <c r="D1090" s="167" t="s">
        <v>235</v>
      </c>
      <c r="E1090" s="28">
        <v>3990</v>
      </c>
      <c r="F1090" s="119">
        <f>SUM(G1090)</f>
        <v>1</v>
      </c>
      <c r="G1090" s="111">
        <v>1</v>
      </c>
    </row>
    <row r="1091" spans="1:7" ht="19.5" customHeight="1" thickBot="1" x14ac:dyDescent="0.45"/>
    <row r="1092" spans="1:7" s="150" customFormat="1" ht="24" customHeight="1" thickBot="1" x14ac:dyDescent="0.45">
      <c r="A1092" s="146">
        <v>46</v>
      </c>
      <c r="B1092" s="194" t="s">
        <v>733</v>
      </c>
      <c r="C1092" s="222" t="s">
        <v>711</v>
      </c>
      <c r="D1092" s="171" t="s">
        <v>235</v>
      </c>
      <c r="E1092" s="147">
        <v>4790</v>
      </c>
      <c r="F1092" s="148">
        <f>SUM(G1092)</f>
        <v>3</v>
      </c>
      <c r="G1092" s="149">
        <v>3</v>
      </c>
    </row>
    <row r="1093" spans="1:7" ht="19.5" customHeight="1" thickBot="1" x14ac:dyDescent="0.45"/>
    <row r="1094" spans="1:7" ht="25.5" customHeight="1" thickBot="1" x14ac:dyDescent="0.45">
      <c r="A1094" s="8">
        <v>47</v>
      </c>
      <c r="B1094" s="193" t="s">
        <v>734</v>
      </c>
      <c r="C1094" s="221" t="s">
        <v>711</v>
      </c>
      <c r="D1094" s="167" t="s">
        <v>235</v>
      </c>
      <c r="E1094" s="28">
        <v>16890</v>
      </c>
      <c r="F1094" s="119">
        <f>SUM(G1094)</f>
        <v>1</v>
      </c>
      <c r="G1094" s="111">
        <v>1</v>
      </c>
    </row>
    <row r="1095" spans="1:7" ht="19.5" customHeight="1" thickBot="1" x14ac:dyDescent="0.45"/>
    <row r="1096" spans="1:7" ht="21" customHeight="1" thickBot="1" x14ac:dyDescent="0.45">
      <c r="A1096" s="8">
        <v>48</v>
      </c>
      <c r="B1096" s="193" t="s">
        <v>735</v>
      </c>
      <c r="C1096" s="221" t="s">
        <v>711</v>
      </c>
      <c r="D1096" s="167" t="s">
        <v>234</v>
      </c>
      <c r="E1096" s="28">
        <v>4790</v>
      </c>
      <c r="F1096" s="119">
        <f>SUM(G1096)</f>
        <v>0</v>
      </c>
      <c r="G1096" s="111">
        <v>0</v>
      </c>
    </row>
    <row r="1097" spans="1:7" ht="19.5" customHeight="1" thickBot="1" x14ac:dyDescent="0.45"/>
    <row r="1098" spans="1:7" x14ac:dyDescent="0.4">
      <c r="A1098" s="8">
        <v>49</v>
      </c>
      <c r="B1098" s="181" t="s">
        <v>737</v>
      </c>
      <c r="C1098" s="214" t="s">
        <v>736</v>
      </c>
      <c r="D1098" s="156" t="s">
        <v>51</v>
      </c>
      <c r="E1098" s="13">
        <v>9100</v>
      </c>
      <c r="F1098" s="108">
        <f>SUM(G1098)</f>
        <v>5</v>
      </c>
      <c r="G1098" s="104">
        <v>5</v>
      </c>
    </row>
    <row r="1099" spans="1:7" ht="19.5" customHeight="1" thickBot="1" x14ac:dyDescent="0.45">
      <c r="B1099" s="183" t="s">
        <v>737</v>
      </c>
      <c r="C1099" s="202" t="s">
        <v>736</v>
      </c>
      <c r="D1099" s="158" t="s">
        <v>232</v>
      </c>
      <c r="E1099" s="17">
        <v>9700</v>
      </c>
      <c r="F1099" s="110">
        <f>SUM(G1099)</f>
        <v>2</v>
      </c>
      <c r="G1099" s="106">
        <v>2</v>
      </c>
    </row>
    <row r="1100" spans="1:7" ht="19.5" customHeight="1" thickBot="1" x14ac:dyDescent="0.45"/>
    <row r="1101" spans="1:7" x14ac:dyDescent="0.4">
      <c r="A1101" s="8">
        <v>50</v>
      </c>
      <c r="B1101" s="181" t="s">
        <v>276</v>
      </c>
      <c r="C1101" s="214" t="s">
        <v>222</v>
      </c>
      <c r="D1101" s="156" t="s">
        <v>235</v>
      </c>
      <c r="E1101" s="13">
        <v>9490</v>
      </c>
      <c r="F1101" s="108">
        <f>SUM(G1101)</f>
        <v>0</v>
      </c>
      <c r="G1101" s="104">
        <v>0</v>
      </c>
    </row>
    <row r="1102" spans="1:7" x14ac:dyDescent="0.4">
      <c r="B1102" s="182" t="s">
        <v>276</v>
      </c>
      <c r="C1102" s="201" t="s">
        <v>222</v>
      </c>
      <c r="D1102" s="157" t="s">
        <v>456</v>
      </c>
      <c r="E1102" s="6">
        <v>9490</v>
      </c>
      <c r="F1102" s="109">
        <f>SUM(G1102)</f>
        <v>0</v>
      </c>
      <c r="G1102" s="105">
        <v>0</v>
      </c>
    </row>
    <row r="1103" spans="1:7" ht="19.5" customHeight="1" thickBot="1" x14ac:dyDescent="0.45">
      <c r="B1103" s="183" t="s">
        <v>276</v>
      </c>
      <c r="C1103" s="202" t="s">
        <v>222</v>
      </c>
      <c r="D1103" s="158" t="s">
        <v>454</v>
      </c>
      <c r="E1103" s="17">
        <v>9490</v>
      </c>
      <c r="F1103" s="110">
        <f>SUM(G1103)</f>
        <v>0</v>
      </c>
      <c r="G1103" s="106">
        <v>0</v>
      </c>
    </row>
    <row r="1104" spans="1:7" ht="19.5" customHeight="1" thickBot="1" x14ac:dyDescent="0.45"/>
    <row r="1105" spans="1:7" x14ac:dyDescent="0.4">
      <c r="A1105" s="8">
        <v>51</v>
      </c>
      <c r="B1105" s="181" t="s">
        <v>448</v>
      </c>
      <c r="C1105" s="214" t="s">
        <v>222</v>
      </c>
      <c r="D1105" s="180" t="s">
        <v>235</v>
      </c>
      <c r="E1105" s="56">
        <v>13000</v>
      </c>
      <c r="F1105" s="121">
        <f>SUM(G1105)</f>
        <v>0</v>
      </c>
      <c r="G1105" s="116">
        <v>0</v>
      </c>
    </row>
    <row r="1106" spans="1:7" x14ac:dyDescent="0.4">
      <c r="B1106" s="182" t="s">
        <v>448</v>
      </c>
      <c r="C1106" s="201" t="s">
        <v>222</v>
      </c>
      <c r="D1106" s="157" t="s">
        <v>456</v>
      </c>
      <c r="E1106" s="6">
        <v>13000</v>
      </c>
      <c r="F1106" s="109">
        <f>SUM(G1106)</f>
        <v>0</v>
      </c>
      <c r="G1106" s="105">
        <v>0</v>
      </c>
    </row>
    <row r="1107" spans="1:7" ht="19.5" customHeight="1" thickBot="1" x14ac:dyDescent="0.45">
      <c r="B1107" s="183" t="s">
        <v>448</v>
      </c>
      <c r="C1107" s="202" t="s">
        <v>222</v>
      </c>
      <c r="D1107" s="158" t="s">
        <v>454</v>
      </c>
      <c r="E1107" s="17">
        <v>13000</v>
      </c>
      <c r="F1107" s="110">
        <f>SUM(G1107)</f>
        <v>0</v>
      </c>
      <c r="G1107" s="106">
        <v>0</v>
      </c>
    </row>
    <row r="1108" spans="1:7" ht="19.5" customHeight="1" thickBot="1" x14ac:dyDescent="0.45"/>
    <row r="1109" spans="1:7" ht="19.5" customHeight="1" thickBot="1" x14ac:dyDescent="0.45">
      <c r="A1109" s="8">
        <v>52</v>
      </c>
      <c r="B1109" s="193" t="s">
        <v>277</v>
      </c>
      <c r="C1109" s="221" t="s">
        <v>222</v>
      </c>
      <c r="D1109" s="167" t="s">
        <v>278</v>
      </c>
      <c r="E1109" s="28">
        <v>8590</v>
      </c>
      <c r="F1109" s="119">
        <f>SUM(G1109)</f>
        <v>0</v>
      </c>
      <c r="G1109" s="111">
        <v>0</v>
      </c>
    </row>
    <row r="1110" spans="1:7" ht="19.5" customHeight="1" thickBot="1" x14ac:dyDescent="0.45"/>
    <row r="1111" spans="1:7" ht="22.5" customHeight="1" thickBot="1" x14ac:dyDescent="0.45">
      <c r="A1111" s="8">
        <v>53</v>
      </c>
      <c r="B1111" s="193" t="s">
        <v>279</v>
      </c>
      <c r="C1111" s="221" t="s">
        <v>222</v>
      </c>
      <c r="D1111" s="167" t="s">
        <v>278</v>
      </c>
      <c r="E1111" s="28">
        <v>11890</v>
      </c>
      <c r="F1111" s="119">
        <f>SUM(G1111)</f>
        <v>1</v>
      </c>
      <c r="G1111" s="111">
        <v>1</v>
      </c>
    </row>
    <row r="1112" spans="1:7" ht="19.5" customHeight="1" thickBot="1" x14ac:dyDescent="0.45"/>
    <row r="1113" spans="1:7" x14ac:dyDescent="0.4">
      <c r="A1113" s="8">
        <v>54</v>
      </c>
      <c r="B1113" s="181" t="s">
        <v>280</v>
      </c>
      <c r="C1113" s="214" t="s">
        <v>712</v>
      </c>
      <c r="D1113" s="180" t="s">
        <v>453</v>
      </c>
      <c r="E1113" s="56">
        <v>18890</v>
      </c>
      <c r="F1113" s="121">
        <f>SUM(G1113)</f>
        <v>0</v>
      </c>
      <c r="G1113" s="116">
        <v>0</v>
      </c>
    </row>
    <row r="1114" spans="1:7" x14ac:dyDescent="0.4">
      <c r="B1114" s="182" t="s">
        <v>280</v>
      </c>
      <c r="C1114" s="201" t="s">
        <v>712</v>
      </c>
      <c r="D1114" s="157" t="s">
        <v>449</v>
      </c>
      <c r="E1114" s="6">
        <v>18890</v>
      </c>
      <c r="F1114" s="109">
        <f>SUM(G1114)</f>
        <v>0</v>
      </c>
      <c r="G1114" s="105">
        <v>0</v>
      </c>
    </row>
    <row r="1115" spans="1:7" x14ac:dyDescent="0.4">
      <c r="B1115" s="182" t="s">
        <v>280</v>
      </c>
      <c r="C1115" s="201" t="s">
        <v>712</v>
      </c>
      <c r="D1115" s="157" t="s">
        <v>450</v>
      </c>
      <c r="E1115" s="6">
        <v>18890</v>
      </c>
      <c r="F1115" s="109">
        <f>SUM(G1115)</f>
        <v>0</v>
      </c>
      <c r="G1115" s="105">
        <v>0</v>
      </c>
    </row>
    <row r="1116" spans="1:7" x14ac:dyDescent="0.4">
      <c r="B1116" s="182" t="s">
        <v>280</v>
      </c>
      <c r="C1116" s="201" t="s">
        <v>712</v>
      </c>
      <c r="D1116" s="157" t="s">
        <v>451</v>
      </c>
      <c r="E1116" s="6">
        <v>18890</v>
      </c>
      <c r="F1116" s="109">
        <f>SUM(G1116)</f>
        <v>0</v>
      </c>
      <c r="G1116" s="105">
        <v>0</v>
      </c>
    </row>
    <row r="1117" spans="1:7" ht="19.5" customHeight="1" thickBot="1" x14ac:dyDescent="0.45">
      <c r="B1117" s="183" t="s">
        <v>280</v>
      </c>
      <c r="C1117" s="202" t="s">
        <v>712</v>
      </c>
      <c r="D1117" s="158" t="s">
        <v>452</v>
      </c>
      <c r="E1117" s="17">
        <v>18890</v>
      </c>
      <c r="F1117" s="110">
        <f>SUM(G1117)</f>
        <v>0</v>
      </c>
      <c r="G1117" s="106">
        <v>0</v>
      </c>
    </row>
    <row r="1118" spans="1:7" ht="19.5" customHeight="1" thickBot="1" x14ac:dyDescent="0.45"/>
    <row r="1119" spans="1:7" x14ac:dyDescent="0.4">
      <c r="A1119" s="8">
        <v>55</v>
      </c>
      <c r="B1119" s="181" t="s">
        <v>405</v>
      </c>
      <c r="C1119" s="217" t="s">
        <v>222</v>
      </c>
      <c r="D1119" s="168" t="s">
        <v>455</v>
      </c>
      <c r="E1119" s="13">
        <v>16300</v>
      </c>
      <c r="F1119" s="108">
        <f>SUM(G1119)</f>
        <v>0</v>
      </c>
      <c r="G1119" s="104">
        <v>0</v>
      </c>
    </row>
    <row r="1120" spans="1:7" ht="19.5" customHeight="1" thickBot="1" x14ac:dyDescent="0.45">
      <c r="B1120" s="183" t="s">
        <v>405</v>
      </c>
      <c r="C1120" s="210" t="s">
        <v>222</v>
      </c>
      <c r="D1120" s="166" t="s">
        <v>454</v>
      </c>
      <c r="E1120" s="17">
        <v>16300</v>
      </c>
      <c r="F1120" s="110">
        <f>SUM(G1120)</f>
        <v>0</v>
      </c>
      <c r="G1120" s="106">
        <v>0</v>
      </c>
    </row>
    <row r="1121" spans="1:7" ht="19.5" customHeight="1" thickBot="1" x14ac:dyDescent="0.45"/>
    <row r="1122" spans="1:7" x14ac:dyDescent="0.4">
      <c r="A1122" s="8">
        <v>56</v>
      </c>
      <c r="B1122" s="181" t="s">
        <v>406</v>
      </c>
      <c r="C1122" s="214" t="s">
        <v>222</v>
      </c>
      <c r="D1122" s="180" t="s">
        <v>249</v>
      </c>
      <c r="E1122" s="56">
        <v>18300</v>
      </c>
      <c r="F1122" s="121">
        <f>SUM(G1122)</f>
        <v>0</v>
      </c>
      <c r="G1122" s="116">
        <v>0</v>
      </c>
    </row>
    <row r="1123" spans="1:7" ht="19.5" customHeight="1" thickBot="1" x14ac:dyDescent="0.45">
      <c r="B1123" s="183" t="s">
        <v>406</v>
      </c>
      <c r="C1123" s="202" t="s">
        <v>222</v>
      </c>
      <c r="D1123" s="158" t="s">
        <v>223</v>
      </c>
      <c r="E1123" s="17">
        <v>18300</v>
      </c>
      <c r="F1123" s="110">
        <f>SUM(G1123)</f>
        <v>2</v>
      </c>
      <c r="G1123" s="106">
        <v>2</v>
      </c>
    </row>
    <row r="1124" spans="1:7" ht="19.5" customHeight="1" thickBot="1" x14ac:dyDescent="0.45"/>
    <row r="1125" spans="1:7" x14ac:dyDescent="0.4">
      <c r="A1125" s="8">
        <v>57</v>
      </c>
      <c r="B1125" s="181" t="s">
        <v>281</v>
      </c>
      <c r="C1125" s="214" t="s">
        <v>712</v>
      </c>
      <c r="D1125" s="180" t="s">
        <v>264</v>
      </c>
      <c r="E1125" s="56">
        <v>26090</v>
      </c>
      <c r="F1125" s="121">
        <f>SUM(G1125)</f>
        <v>0</v>
      </c>
      <c r="G1125" s="116">
        <v>0</v>
      </c>
    </row>
    <row r="1126" spans="1:7" ht="19.5" customHeight="1" thickBot="1" x14ac:dyDescent="0.45">
      <c r="B1126" s="183" t="s">
        <v>281</v>
      </c>
      <c r="C1126" s="202" t="s">
        <v>712</v>
      </c>
      <c r="D1126" s="158" t="s">
        <v>347</v>
      </c>
      <c r="E1126" s="17">
        <v>26090</v>
      </c>
      <c r="F1126" s="110">
        <f>SUM(G1126)</f>
        <v>1</v>
      </c>
      <c r="G1126" s="106">
        <v>1</v>
      </c>
    </row>
    <row r="1127" spans="1:7" ht="19.5" customHeight="1" thickBot="1" x14ac:dyDescent="0.45"/>
    <row r="1128" spans="1:7" x14ac:dyDescent="0.4">
      <c r="A1128" s="8">
        <v>58</v>
      </c>
      <c r="B1128" s="181" t="s">
        <v>282</v>
      </c>
      <c r="C1128" s="214" t="s">
        <v>712</v>
      </c>
      <c r="D1128" s="180" t="s">
        <v>235</v>
      </c>
      <c r="E1128" s="56">
        <v>16300</v>
      </c>
      <c r="F1128" s="121">
        <f>SUM(G1128)</f>
        <v>0</v>
      </c>
      <c r="G1128" s="116">
        <v>0</v>
      </c>
    </row>
    <row r="1129" spans="1:7" x14ac:dyDescent="0.4">
      <c r="B1129" s="182" t="s">
        <v>282</v>
      </c>
      <c r="C1129" s="201" t="s">
        <v>712</v>
      </c>
      <c r="D1129" s="157" t="s">
        <v>456</v>
      </c>
      <c r="E1129" s="6">
        <v>16300</v>
      </c>
      <c r="F1129" s="109">
        <f>SUM(G1129)</f>
        <v>0</v>
      </c>
      <c r="G1129" s="105">
        <v>0</v>
      </c>
    </row>
    <row r="1130" spans="1:7" ht="19.5" customHeight="1" thickBot="1" x14ac:dyDescent="0.45">
      <c r="B1130" s="183" t="s">
        <v>282</v>
      </c>
      <c r="C1130" s="202" t="s">
        <v>712</v>
      </c>
      <c r="D1130" s="158" t="s">
        <v>454</v>
      </c>
      <c r="E1130" s="17">
        <v>16300</v>
      </c>
      <c r="F1130" s="110">
        <f>SUM(G1130)</f>
        <v>1</v>
      </c>
      <c r="G1130" s="106">
        <v>1</v>
      </c>
    </row>
    <row r="1131" spans="1:7" ht="19.5" customHeight="1" thickBot="1" x14ac:dyDescent="0.45"/>
    <row r="1132" spans="1:7" x14ac:dyDescent="0.4">
      <c r="A1132" s="8">
        <v>1</v>
      </c>
      <c r="B1132" s="181" t="s">
        <v>275</v>
      </c>
      <c r="C1132" s="214"/>
      <c r="D1132" s="156" t="s">
        <v>249</v>
      </c>
      <c r="E1132" s="13">
        <v>4590</v>
      </c>
      <c r="F1132" s="108">
        <f>SUM(G1132)</f>
        <v>0</v>
      </c>
      <c r="G1132" s="104">
        <v>0</v>
      </c>
    </row>
    <row r="1133" spans="1:7" ht="19.5" customHeight="1" thickBot="1" x14ac:dyDescent="0.45">
      <c r="B1133" s="183" t="s">
        <v>275</v>
      </c>
      <c r="C1133" s="202"/>
      <c r="D1133" s="158" t="s">
        <v>667</v>
      </c>
      <c r="E1133" s="17">
        <v>3890</v>
      </c>
      <c r="F1133" s="110">
        <f>SUM(G1133)</f>
        <v>7</v>
      </c>
      <c r="G1133" s="106">
        <v>7</v>
      </c>
    </row>
    <row r="1134" spans="1:7" ht="19.5" customHeight="1" thickBot="1" x14ac:dyDescent="0.45"/>
    <row r="1135" spans="1:7" x14ac:dyDescent="0.4">
      <c r="A1135" s="8">
        <v>2</v>
      </c>
      <c r="B1135" s="181" t="s">
        <v>457</v>
      </c>
      <c r="C1135" s="214"/>
      <c r="D1135" s="156" t="s">
        <v>248</v>
      </c>
      <c r="E1135" s="13">
        <v>3800</v>
      </c>
      <c r="F1135" s="108">
        <f>SUM(G1135)</f>
        <v>5</v>
      </c>
      <c r="G1135" s="104">
        <v>5</v>
      </c>
    </row>
    <row r="1136" spans="1:7" x14ac:dyDescent="0.4">
      <c r="B1136" s="182" t="s">
        <v>457</v>
      </c>
      <c r="D1136" s="157" t="s">
        <v>232</v>
      </c>
      <c r="E1136" s="6">
        <v>3550</v>
      </c>
      <c r="F1136" s="109">
        <f>SUM(G1136)</f>
        <v>6</v>
      </c>
      <c r="G1136" s="105">
        <v>6</v>
      </c>
    </row>
    <row r="1137" spans="1:7" x14ac:dyDescent="0.4">
      <c r="B1137" s="182" t="s">
        <v>457</v>
      </c>
      <c r="D1137" s="157" t="s">
        <v>51</v>
      </c>
      <c r="E1137" s="6">
        <v>3150</v>
      </c>
      <c r="F1137" s="109">
        <f>SUM(G1137)</f>
        <v>5</v>
      </c>
      <c r="G1137" s="105">
        <v>5</v>
      </c>
    </row>
    <row r="1138" spans="1:7" ht="19.5" customHeight="1" thickBot="1" x14ac:dyDescent="0.45">
      <c r="B1138" s="183" t="s">
        <v>457</v>
      </c>
      <c r="C1138" s="202"/>
      <c r="D1138" s="158" t="s">
        <v>458</v>
      </c>
      <c r="E1138" s="17">
        <v>3550</v>
      </c>
      <c r="F1138" s="110">
        <f>SUM(G1138)</f>
        <v>2</v>
      </c>
      <c r="G1138" s="106">
        <v>2</v>
      </c>
    </row>
    <row r="1139" spans="1:7" x14ac:dyDescent="0.4">
      <c r="G1139" s="96" t="s">
        <v>285</v>
      </c>
    </row>
    <row r="1140" spans="1:7" ht="19.5" customHeight="1" thickBot="1" x14ac:dyDescent="0.45"/>
    <row r="1141" spans="1:7" x14ac:dyDescent="0.4">
      <c r="A1141" s="8">
        <v>3</v>
      </c>
      <c r="B1141" s="181" t="s">
        <v>661</v>
      </c>
      <c r="C1141" s="217"/>
      <c r="D1141" s="168" t="s">
        <v>504</v>
      </c>
      <c r="E1141" s="13">
        <v>20690</v>
      </c>
      <c r="F1141" s="108">
        <f>SUM(G1141)</f>
        <v>2</v>
      </c>
      <c r="G1141" s="104">
        <v>2</v>
      </c>
    </row>
    <row r="1142" spans="1:7" ht="19.5" customHeight="1" thickBot="1" x14ac:dyDescent="0.45">
      <c r="B1142" s="183" t="s">
        <v>661</v>
      </c>
      <c r="C1142" s="210"/>
      <c r="D1142" s="166" t="s">
        <v>511</v>
      </c>
      <c r="E1142" s="17">
        <v>22690</v>
      </c>
      <c r="F1142" s="110">
        <f>SUM(G1142)</f>
        <v>0</v>
      </c>
      <c r="G1142" s="106">
        <v>0</v>
      </c>
    </row>
    <row r="1143" spans="1:7" ht="19.5" customHeight="1" thickBot="1" x14ac:dyDescent="0.45"/>
    <row r="1144" spans="1:7" x14ac:dyDescent="0.4">
      <c r="A1144" s="8">
        <v>4</v>
      </c>
      <c r="B1144" s="181" t="s">
        <v>662</v>
      </c>
      <c r="C1144" s="214"/>
      <c r="D1144" s="156" t="s">
        <v>504</v>
      </c>
      <c r="E1144" s="13">
        <v>18490</v>
      </c>
      <c r="F1144" s="108">
        <f>SUM(G1144)</f>
        <v>0</v>
      </c>
      <c r="G1144" s="104">
        <v>0</v>
      </c>
    </row>
    <row r="1145" spans="1:7" ht="19.5" customHeight="1" thickBot="1" x14ac:dyDescent="0.45">
      <c r="B1145" s="183" t="s">
        <v>662</v>
      </c>
      <c r="C1145" s="202"/>
      <c r="D1145" s="158" t="s">
        <v>505</v>
      </c>
      <c r="E1145" s="17">
        <v>20690</v>
      </c>
      <c r="F1145" s="110">
        <f>SUM(G1145)</f>
        <v>1</v>
      </c>
      <c r="G1145" s="106">
        <v>1</v>
      </c>
    </row>
    <row r="1146" spans="1:7" ht="19.5" customHeight="1" thickBot="1" x14ac:dyDescent="0.45"/>
    <row r="1147" spans="1:7" ht="19.5" customHeight="1" thickBot="1" x14ac:dyDescent="0.45">
      <c r="A1147" s="8">
        <v>5</v>
      </c>
      <c r="B1147" s="193" t="s">
        <v>663</v>
      </c>
      <c r="C1147" s="221"/>
      <c r="D1147" s="167" t="s">
        <v>504</v>
      </c>
      <c r="E1147" s="131">
        <v>17590</v>
      </c>
      <c r="F1147" s="119">
        <f>SUM(G1147)</f>
        <v>0</v>
      </c>
      <c r="G1147" s="111">
        <v>0</v>
      </c>
    </row>
    <row r="1148" spans="1:7" ht="19.5" customHeight="1" thickBot="1" x14ac:dyDescent="0.45"/>
    <row r="1149" spans="1:7" ht="19.5" customHeight="1" thickBot="1" x14ac:dyDescent="0.45">
      <c r="A1149" s="8">
        <v>6</v>
      </c>
      <c r="B1149" s="193" t="s">
        <v>664</v>
      </c>
      <c r="C1149" s="221"/>
      <c r="D1149" s="167" t="s">
        <v>504</v>
      </c>
      <c r="E1149" s="28">
        <v>15190</v>
      </c>
      <c r="F1149" s="119">
        <f>SUM(G1149)</f>
        <v>2</v>
      </c>
      <c r="G1149" s="111">
        <v>2</v>
      </c>
    </row>
    <row r="1150" spans="1:7" ht="19.5" customHeight="1" thickBot="1" x14ac:dyDescent="0.45"/>
    <row r="1151" spans="1:7" ht="19.5" customHeight="1" thickBot="1" x14ac:dyDescent="0.45">
      <c r="A1151" s="8">
        <v>7</v>
      </c>
      <c r="B1151" s="193" t="s">
        <v>665</v>
      </c>
      <c r="C1151" s="221"/>
      <c r="D1151" s="167" t="s">
        <v>504</v>
      </c>
      <c r="E1151" s="28">
        <v>24790</v>
      </c>
      <c r="F1151" s="119">
        <f>SUM(G1151)</f>
        <v>0</v>
      </c>
      <c r="G1151" s="111">
        <v>0</v>
      </c>
    </row>
    <row r="1152" spans="1:7" ht="19.5" customHeight="1" thickBot="1" x14ac:dyDescent="0.45"/>
    <row r="1153" spans="1:7" ht="19.5" customHeight="1" thickBot="1" x14ac:dyDescent="0.45">
      <c r="A1153" s="8">
        <v>8</v>
      </c>
      <c r="B1153" s="193" t="s">
        <v>666</v>
      </c>
      <c r="C1153" s="221"/>
      <c r="D1153" s="167" t="s">
        <v>504</v>
      </c>
      <c r="E1153" s="28">
        <v>26990</v>
      </c>
      <c r="F1153" s="119">
        <f>SUM(G1153)</f>
        <v>0</v>
      </c>
      <c r="G1153" s="111">
        <v>0</v>
      </c>
    </row>
    <row r="1154" spans="1:7" ht="19.5" thickBot="1" x14ac:dyDescent="0.45"/>
    <row r="1155" spans="1:7" x14ac:dyDescent="0.4">
      <c r="A1155" s="8">
        <v>9</v>
      </c>
      <c r="B1155" s="181" t="s">
        <v>668</v>
      </c>
      <c r="C1155" s="227">
        <v>560</v>
      </c>
      <c r="D1155" s="156"/>
      <c r="E1155" s="13">
        <v>3250</v>
      </c>
      <c r="F1155" s="108">
        <f>SUM(G1155)</f>
        <v>1</v>
      </c>
      <c r="G1155" s="104">
        <v>1</v>
      </c>
    </row>
    <row r="1156" spans="1:7" x14ac:dyDescent="0.4">
      <c r="B1156" s="182" t="s">
        <v>668</v>
      </c>
      <c r="C1156" s="225">
        <v>610</v>
      </c>
      <c r="D1156" s="157"/>
      <c r="E1156" s="6">
        <v>3250</v>
      </c>
      <c r="F1156" s="109">
        <f>SUM(G1156)</f>
        <v>0</v>
      </c>
      <c r="G1156" s="105">
        <v>0</v>
      </c>
    </row>
    <row r="1157" spans="1:7" x14ac:dyDescent="0.4">
      <c r="B1157" s="182" t="s">
        <v>668</v>
      </c>
      <c r="C1157" s="225">
        <v>780</v>
      </c>
      <c r="D1157" s="157"/>
      <c r="E1157" s="6">
        <v>3250</v>
      </c>
      <c r="F1157" s="109">
        <f>SUM(G1157)</f>
        <v>1</v>
      </c>
      <c r="G1157" s="105">
        <v>1</v>
      </c>
    </row>
    <row r="1158" spans="1:7" ht="19.5" thickBot="1" x14ac:dyDescent="0.45">
      <c r="B1158" s="183" t="s">
        <v>670</v>
      </c>
      <c r="C1158" s="223" t="s">
        <v>669</v>
      </c>
      <c r="D1158" s="158"/>
      <c r="E1158" s="17">
        <v>3250</v>
      </c>
      <c r="F1158" s="110">
        <f>SUM(G1158)</f>
        <v>1</v>
      </c>
      <c r="G1158" s="106">
        <v>1</v>
      </c>
    </row>
    <row r="1159" spans="1:7" ht="19.5" thickBot="1" x14ac:dyDescent="0.45"/>
    <row r="1160" spans="1:7" x14ac:dyDescent="0.4">
      <c r="A1160" s="8">
        <v>10</v>
      </c>
      <c r="B1160" s="181" t="s">
        <v>671</v>
      </c>
      <c r="C1160" s="227">
        <v>560</v>
      </c>
      <c r="D1160" s="156"/>
      <c r="E1160" s="13">
        <v>2250</v>
      </c>
      <c r="F1160" s="108">
        <f>SUM(G1160)</f>
        <v>0</v>
      </c>
      <c r="G1160" s="104">
        <v>0</v>
      </c>
    </row>
    <row r="1161" spans="1:7" x14ac:dyDescent="0.4">
      <c r="B1161" s="182" t="s">
        <v>671</v>
      </c>
      <c r="C1161" s="225">
        <v>610</v>
      </c>
      <c r="D1161" s="157"/>
      <c r="E1161" s="6">
        <v>2250</v>
      </c>
      <c r="F1161" s="109">
        <f>SUM(G1161)</f>
        <v>0</v>
      </c>
      <c r="G1161" s="105">
        <v>0</v>
      </c>
    </row>
    <row r="1162" spans="1:7" ht="19.5" thickBot="1" x14ac:dyDescent="0.45">
      <c r="B1162" s="183" t="s">
        <v>671</v>
      </c>
      <c r="C1162" s="228">
        <v>780</v>
      </c>
      <c r="D1162" s="158"/>
      <c r="E1162" s="17">
        <v>2250</v>
      </c>
      <c r="F1162" s="110">
        <f>SUM(G1162)</f>
        <v>0</v>
      </c>
      <c r="G1162" s="106">
        <v>0</v>
      </c>
    </row>
    <row r="1163" spans="1:7" ht="19.5" thickBot="1" x14ac:dyDescent="0.45">
      <c r="C1163" s="226"/>
    </row>
    <row r="1164" spans="1:7" x14ac:dyDescent="0.4">
      <c r="A1164" s="8">
        <v>11</v>
      </c>
      <c r="B1164" s="181" t="s">
        <v>673</v>
      </c>
      <c r="C1164" s="227">
        <v>560</v>
      </c>
      <c r="D1164" s="156"/>
      <c r="E1164" s="13">
        <v>4350</v>
      </c>
      <c r="F1164" s="108">
        <f>SUM(G1164)</f>
        <v>0</v>
      </c>
      <c r="G1164" s="104">
        <v>0</v>
      </c>
    </row>
    <row r="1165" spans="1:7" x14ac:dyDescent="0.4">
      <c r="B1165" s="182" t="s">
        <v>673</v>
      </c>
      <c r="C1165" s="225">
        <v>610</v>
      </c>
      <c r="D1165" s="157"/>
      <c r="E1165" s="6">
        <v>4350</v>
      </c>
      <c r="F1165" s="109">
        <f>SUM(G1165)</f>
        <v>0</v>
      </c>
      <c r="G1165" s="105">
        <v>0</v>
      </c>
    </row>
    <row r="1166" spans="1:7" ht="19.5" thickBot="1" x14ac:dyDescent="0.45">
      <c r="B1166" s="183" t="s">
        <v>673</v>
      </c>
      <c r="C1166" s="228">
        <v>780</v>
      </c>
      <c r="D1166" s="158"/>
      <c r="E1166" s="17">
        <v>4350</v>
      </c>
      <c r="F1166" s="110">
        <f t="shared" ref="F1166:F1171" si="47">SUM(G1166)</f>
        <v>0</v>
      </c>
      <c r="G1166" s="106">
        <v>0</v>
      </c>
    </row>
    <row r="1167" spans="1:7" x14ac:dyDescent="0.4">
      <c r="B1167" s="182" t="s">
        <v>674</v>
      </c>
      <c r="C1167" s="229"/>
      <c r="D1167" s="165"/>
      <c r="E1167" s="11">
        <v>2250</v>
      </c>
      <c r="F1167" s="113">
        <f t="shared" si="47"/>
        <v>0</v>
      </c>
      <c r="G1167" s="132">
        <v>0</v>
      </c>
    </row>
    <row r="1168" spans="1:7" x14ac:dyDescent="0.4">
      <c r="B1168" s="182" t="s">
        <v>675</v>
      </c>
      <c r="C1168" s="225">
        <v>550</v>
      </c>
      <c r="D1168" s="157"/>
      <c r="E1168" s="6">
        <v>2250</v>
      </c>
      <c r="F1168" s="109">
        <f t="shared" si="47"/>
        <v>0</v>
      </c>
      <c r="G1168" s="105">
        <v>0</v>
      </c>
    </row>
    <row r="1169" spans="1:7" x14ac:dyDescent="0.4">
      <c r="B1169" s="182" t="s">
        <v>676</v>
      </c>
      <c r="C1169" s="225"/>
      <c r="D1169" s="157"/>
      <c r="E1169" s="6">
        <v>2250</v>
      </c>
      <c r="F1169" s="109">
        <f t="shared" si="47"/>
        <v>0</v>
      </c>
      <c r="G1169" s="105">
        <v>0</v>
      </c>
    </row>
    <row r="1170" spans="1:7" x14ac:dyDescent="0.4">
      <c r="B1170" s="182" t="s">
        <v>677</v>
      </c>
      <c r="C1170" s="225"/>
      <c r="D1170" s="157"/>
      <c r="E1170" s="6">
        <v>2250</v>
      </c>
      <c r="F1170" s="109">
        <f t="shared" si="47"/>
        <v>8</v>
      </c>
      <c r="G1170" s="105">
        <v>8</v>
      </c>
    </row>
    <row r="1171" spans="1:7" ht="19.5" thickBot="1" x14ac:dyDescent="0.45">
      <c r="B1171" s="183" t="s">
        <v>678</v>
      </c>
      <c r="C1171" s="228"/>
      <c r="D1171" s="158"/>
      <c r="E1171" s="17">
        <v>2250</v>
      </c>
      <c r="F1171" s="110">
        <f t="shared" si="47"/>
        <v>1</v>
      </c>
      <c r="G1171" s="106">
        <v>1</v>
      </c>
    </row>
    <row r="1172" spans="1:7" ht="19.5" thickBot="1" x14ac:dyDescent="0.45"/>
    <row r="1173" spans="1:7" x14ac:dyDescent="0.4">
      <c r="A1173" s="8">
        <v>12</v>
      </c>
      <c r="B1173" s="181" t="s">
        <v>672</v>
      </c>
      <c r="C1173" s="227">
        <v>560</v>
      </c>
      <c r="D1173" s="156" t="s">
        <v>232</v>
      </c>
      <c r="E1173" s="13"/>
      <c r="F1173" s="108">
        <f>SUM(G1173)</f>
        <v>2</v>
      </c>
      <c r="G1173" s="104">
        <v>2</v>
      </c>
    </row>
    <row r="1174" spans="1:7" x14ac:dyDescent="0.4">
      <c r="B1174" s="182" t="s">
        <v>672</v>
      </c>
      <c r="C1174" s="225">
        <v>560</v>
      </c>
      <c r="D1174" s="157" t="s">
        <v>71</v>
      </c>
      <c r="E1174" s="6"/>
      <c r="F1174" s="109">
        <f>SUM(G1174)</f>
        <v>0</v>
      </c>
      <c r="G1174" s="105">
        <v>0</v>
      </c>
    </row>
    <row r="1175" spans="1:7" x14ac:dyDescent="0.4">
      <c r="B1175" s="182" t="s">
        <v>672</v>
      </c>
      <c r="C1175" s="225">
        <v>610</v>
      </c>
      <c r="D1175" s="157" t="s">
        <v>232</v>
      </c>
      <c r="E1175" s="6"/>
      <c r="F1175" s="109">
        <f t="shared" ref="F1175:F1178" si="48">SUM(G1175)</f>
        <v>0</v>
      </c>
      <c r="G1175" s="105">
        <v>0</v>
      </c>
    </row>
    <row r="1176" spans="1:7" x14ac:dyDescent="0.4">
      <c r="B1176" s="182" t="s">
        <v>672</v>
      </c>
      <c r="C1176" s="225">
        <v>610</v>
      </c>
      <c r="D1176" s="157" t="s">
        <v>71</v>
      </c>
      <c r="E1176" s="6"/>
      <c r="F1176" s="109">
        <f t="shared" si="48"/>
        <v>0</v>
      </c>
      <c r="G1176" s="105">
        <v>0</v>
      </c>
    </row>
    <row r="1177" spans="1:7" x14ac:dyDescent="0.4">
      <c r="B1177" s="182" t="s">
        <v>672</v>
      </c>
      <c r="C1177" s="225">
        <v>780</v>
      </c>
      <c r="D1177" s="157" t="s">
        <v>232</v>
      </c>
      <c r="E1177" s="6"/>
      <c r="F1177" s="109">
        <f t="shared" si="48"/>
        <v>0</v>
      </c>
      <c r="G1177" s="105">
        <v>0</v>
      </c>
    </row>
    <row r="1178" spans="1:7" ht="19.5" thickBot="1" x14ac:dyDescent="0.45">
      <c r="B1178" s="183" t="s">
        <v>672</v>
      </c>
      <c r="C1178" s="228">
        <v>780</v>
      </c>
      <c r="D1178" s="158" t="s">
        <v>71</v>
      </c>
      <c r="E1178" s="17"/>
      <c r="F1178" s="110">
        <f t="shared" si="48"/>
        <v>0</v>
      </c>
      <c r="G1178" s="106">
        <v>0</v>
      </c>
    </row>
    <row r="1179" spans="1:7" ht="19.5" thickBot="1" x14ac:dyDescent="0.45"/>
    <row r="1180" spans="1:7" x14ac:dyDescent="0.4">
      <c r="A1180" s="8">
        <v>13</v>
      </c>
      <c r="B1180" s="181" t="s">
        <v>679</v>
      </c>
      <c r="C1180" s="227">
        <v>560</v>
      </c>
      <c r="D1180" s="156" t="s">
        <v>680</v>
      </c>
      <c r="E1180" s="13"/>
      <c r="F1180" s="108">
        <f t="shared" ref="F1180:F1185" si="49">SUM(G1180)</f>
        <v>2</v>
      </c>
      <c r="G1180" s="104">
        <v>2</v>
      </c>
    </row>
    <row r="1181" spans="1:7" x14ac:dyDescent="0.4">
      <c r="B1181" s="182" t="s">
        <v>679</v>
      </c>
      <c r="C1181" s="225">
        <v>560</v>
      </c>
      <c r="D1181" s="157" t="s">
        <v>71</v>
      </c>
      <c r="E1181" s="6"/>
      <c r="F1181" s="109">
        <f t="shared" si="49"/>
        <v>1</v>
      </c>
      <c r="G1181" s="105">
        <v>1</v>
      </c>
    </row>
    <row r="1182" spans="1:7" x14ac:dyDescent="0.4">
      <c r="B1182" s="182" t="s">
        <v>679</v>
      </c>
      <c r="C1182" s="225">
        <v>610</v>
      </c>
      <c r="D1182" s="157" t="s">
        <v>680</v>
      </c>
      <c r="E1182" s="6"/>
      <c r="F1182" s="109">
        <f t="shared" si="49"/>
        <v>4</v>
      </c>
      <c r="G1182" s="105">
        <v>4</v>
      </c>
    </row>
    <row r="1183" spans="1:7" x14ac:dyDescent="0.4">
      <c r="B1183" s="182" t="s">
        <v>679</v>
      </c>
      <c r="C1183" s="225">
        <v>610</v>
      </c>
      <c r="D1183" s="157" t="s">
        <v>71</v>
      </c>
      <c r="E1183" s="6"/>
      <c r="F1183" s="109">
        <f t="shared" si="49"/>
        <v>0</v>
      </c>
      <c r="G1183" s="105">
        <v>0</v>
      </c>
    </row>
    <row r="1184" spans="1:7" x14ac:dyDescent="0.4">
      <c r="B1184" s="182" t="s">
        <v>679</v>
      </c>
      <c r="C1184" s="225">
        <v>780</v>
      </c>
      <c r="D1184" s="157" t="s">
        <v>680</v>
      </c>
      <c r="E1184" s="6"/>
      <c r="F1184" s="109">
        <f t="shared" si="49"/>
        <v>3</v>
      </c>
      <c r="G1184" s="105">
        <v>3</v>
      </c>
    </row>
    <row r="1185" spans="1:7" ht="19.5" thickBot="1" x14ac:dyDescent="0.45">
      <c r="B1185" s="183" t="s">
        <v>679</v>
      </c>
      <c r="C1185" s="228">
        <v>780</v>
      </c>
      <c r="D1185" s="158" t="s">
        <v>71</v>
      </c>
      <c r="E1185" s="17"/>
      <c r="F1185" s="110">
        <f t="shared" si="49"/>
        <v>0</v>
      </c>
      <c r="G1185" s="106">
        <v>0</v>
      </c>
    </row>
    <row r="1186" spans="1:7" ht="19.5" thickBot="1" x14ac:dyDescent="0.45"/>
    <row r="1187" spans="1:7" x14ac:dyDescent="0.4">
      <c r="A1187" s="8">
        <v>14</v>
      </c>
      <c r="B1187" s="181" t="s">
        <v>681</v>
      </c>
      <c r="C1187" s="216"/>
      <c r="D1187" s="156" t="s">
        <v>680</v>
      </c>
      <c r="E1187" s="13">
        <v>3850</v>
      </c>
      <c r="F1187" s="108">
        <f>SUM(G1187)</f>
        <v>10</v>
      </c>
      <c r="G1187" s="104">
        <v>10</v>
      </c>
    </row>
    <row r="1188" spans="1:7" x14ac:dyDescent="0.4">
      <c r="B1188" s="182" t="s">
        <v>681</v>
      </c>
      <c r="C1188" s="224"/>
      <c r="D1188" s="157" t="s">
        <v>71</v>
      </c>
      <c r="E1188" s="6">
        <v>3850</v>
      </c>
      <c r="F1188" s="109">
        <f>SUM(G1188)</f>
        <v>5</v>
      </c>
      <c r="G1188" s="105">
        <v>5</v>
      </c>
    </row>
    <row r="1189" spans="1:7" ht="19.5" thickBot="1" x14ac:dyDescent="0.45">
      <c r="B1189" s="183" t="s">
        <v>681</v>
      </c>
      <c r="C1189" s="223"/>
      <c r="D1189" s="158" t="s">
        <v>235</v>
      </c>
      <c r="E1189" s="17">
        <v>3850</v>
      </c>
      <c r="F1189" s="110">
        <f>SUM(G1189)</f>
        <v>0</v>
      </c>
      <c r="G1189" s="106">
        <v>0</v>
      </c>
    </row>
  </sheetData>
  <pageMargins left="0.7" right="0.7" top="0.75" bottom="0.75" header="0.3" footer="0.3"/>
  <pageSetup paperSize="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H10"/>
  <sheetViews>
    <sheetView workbookViewId="0">
      <selection activeCell="C5" sqref="C5"/>
    </sheetView>
  </sheetViews>
  <sheetFormatPr defaultRowHeight="15" x14ac:dyDescent="0.25"/>
  <cols>
    <col min="1" max="1" width="5.42578125" customWidth="1"/>
    <col min="2" max="2" width="17.7109375" customWidth="1"/>
    <col min="3" max="3" width="20.5703125" bestFit="1" customWidth="1"/>
    <col min="4" max="4" width="7.7109375" customWidth="1"/>
    <col min="5" max="5" width="18.42578125" bestFit="1" customWidth="1"/>
    <col min="6" max="6" width="16.42578125" bestFit="1" customWidth="1"/>
    <col min="7" max="7" width="7.140625" customWidth="1"/>
    <col min="8" max="8" width="19.140625" customWidth="1"/>
  </cols>
  <sheetData>
    <row r="1" spans="1:8" ht="15.75" thickBot="1" x14ac:dyDescent="0.3">
      <c r="A1" s="234"/>
      <c r="B1" s="235"/>
      <c r="C1" s="235"/>
      <c r="D1" s="235"/>
      <c r="E1" s="235"/>
      <c r="F1" s="235"/>
      <c r="G1" s="235"/>
      <c r="H1" s="236"/>
    </row>
    <row r="2" spans="1:8" s="1" customFormat="1" ht="16.5" thickBot="1" x14ac:dyDescent="0.3">
      <c r="A2" s="69"/>
      <c r="B2" s="70" t="s">
        <v>298</v>
      </c>
      <c r="C2" s="70" t="s">
        <v>299</v>
      </c>
      <c r="D2" s="71"/>
      <c r="E2" s="70" t="s">
        <v>300</v>
      </c>
      <c r="F2" s="72" t="s">
        <v>301</v>
      </c>
      <c r="G2" s="71"/>
      <c r="H2" s="73" t="s">
        <v>302</v>
      </c>
    </row>
    <row r="3" spans="1:8" ht="15.75" x14ac:dyDescent="0.25">
      <c r="A3" s="64"/>
      <c r="B3" s="237">
        <v>29000</v>
      </c>
      <c r="C3" s="237">
        <v>25</v>
      </c>
      <c r="D3" s="74"/>
      <c r="E3" s="237">
        <f>B3*C3%</f>
        <v>7250</v>
      </c>
      <c r="F3" s="239">
        <f>SUM(B3+E3)</f>
        <v>36250</v>
      </c>
      <c r="G3" s="74"/>
      <c r="H3" s="241">
        <f>B3-E3</f>
        <v>21750</v>
      </c>
    </row>
    <row r="4" spans="1:8" ht="15.75" x14ac:dyDescent="0.25">
      <c r="A4" s="64"/>
      <c r="B4" s="238"/>
      <c r="C4" s="238"/>
      <c r="D4" s="74"/>
      <c r="E4" s="238"/>
      <c r="F4" s="240"/>
      <c r="G4" s="74"/>
      <c r="H4" s="242"/>
    </row>
    <row r="5" spans="1:8" ht="15.75" x14ac:dyDescent="0.25">
      <c r="A5" s="64"/>
      <c r="B5" s="32"/>
      <c r="C5" s="32" t="s">
        <v>285</v>
      </c>
      <c r="D5" s="32"/>
      <c r="E5" s="32"/>
      <c r="F5" s="32"/>
      <c r="G5" s="32"/>
      <c r="H5" s="65"/>
    </row>
    <row r="6" spans="1:8" ht="15.75" x14ac:dyDescent="0.25">
      <c r="A6" s="64"/>
      <c r="B6" s="32"/>
      <c r="C6" s="32"/>
      <c r="D6" s="32"/>
      <c r="E6" s="32"/>
      <c r="F6" s="32"/>
      <c r="G6" s="32"/>
      <c r="H6" s="65"/>
    </row>
    <row r="7" spans="1:8" ht="15.75" x14ac:dyDescent="0.25">
      <c r="A7" s="64"/>
      <c r="B7" s="32"/>
      <c r="C7" s="32"/>
      <c r="D7" s="32"/>
      <c r="E7" s="32"/>
      <c r="F7" s="32"/>
      <c r="G7" s="32"/>
      <c r="H7" s="65"/>
    </row>
    <row r="8" spans="1:8" ht="15.75" x14ac:dyDescent="0.25">
      <c r="A8" s="64"/>
      <c r="B8" s="32"/>
      <c r="C8" s="32"/>
      <c r="D8" s="32"/>
      <c r="E8" s="32"/>
      <c r="F8" s="32"/>
      <c r="G8" s="32"/>
      <c r="H8" s="65"/>
    </row>
    <row r="9" spans="1:8" ht="15.75" x14ac:dyDescent="0.25">
      <c r="A9" s="64"/>
      <c r="B9" s="32"/>
      <c r="C9" s="32"/>
      <c r="D9" s="32"/>
      <c r="E9" s="32"/>
      <c r="F9" s="32"/>
      <c r="G9" s="32"/>
      <c r="H9" s="65"/>
    </row>
    <row r="10" spans="1:8" ht="16.5" thickBot="1" x14ac:dyDescent="0.3">
      <c r="A10" s="66"/>
      <c r="B10" s="67"/>
      <c r="C10" s="67"/>
      <c r="D10" s="67"/>
      <c r="E10" s="67"/>
      <c r="F10" s="67"/>
      <c r="G10" s="67"/>
      <c r="H10" s="68"/>
    </row>
  </sheetData>
  <mergeCells count="6">
    <mergeCell ref="A1:H1"/>
    <mergeCell ref="B3:B4"/>
    <mergeCell ref="C3:C4"/>
    <mergeCell ref="E3:E4"/>
    <mergeCell ref="F3:F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SUMMARY</vt:lpstr>
      <vt:lpstr>MASTER SHEET</vt:lpstr>
      <vt:lpstr>% GST_DIS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Kumar</dc:creator>
  <cp:lastModifiedBy>Puneet Kumar</cp:lastModifiedBy>
  <dcterms:created xsi:type="dcterms:W3CDTF">2026-05-18T17:39:35Z</dcterms:created>
  <dcterms:modified xsi:type="dcterms:W3CDTF">2026-07-06T11:45:41Z</dcterms:modified>
</cp:coreProperties>
</file>